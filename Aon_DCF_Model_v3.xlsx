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rund\Downloads\"/>
    </mc:Choice>
  </mc:AlternateContent>
  <xr:revisionPtr revIDLastSave="0" documentId="8_{8D1A0A42-B51A-4848-A5E2-35D2BEEC5C11}" xr6:coauthVersionLast="47" xr6:coauthVersionMax="47" xr10:uidLastSave="{00000000-0000-0000-0000-000000000000}"/>
  <bookViews>
    <workbookView xWindow="-110" yWindow="-110" windowWidth="25820" windowHeight="16220" tabRatio="500" firstSheet="2" activeTab="7" xr2:uid="{00000000-000D-0000-FFFF-FFFF00000000}"/>
  </bookViews>
  <sheets>
    <sheet name="Cover" sheetId="1" r:id="rId1"/>
    <sheet name="Assumptions" sheetId="2" r:id="rId2"/>
    <sheet name="Income Statement" sheetId="3" r:id="rId3"/>
    <sheet name="FCF Build" sheetId="4" r:id="rId4"/>
    <sheet name="DCF Valuation" sheetId="5" r:id="rId5"/>
    <sheet name="Sensitivity" sheetId="6" r:id="rId6"/>
    <sheet name="Trading Comps" sheetId="7" r:id="rId7"/>
    <sheet name="Football Field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6" l="1"/>
  <c r="E8" i="6"/>
  <c r="F8" i="6"/>
  <c r="G8" i="6"/>
  <c r="H8" i="6"/>
  <c r="I8" i="6"/>
  <c r="J8" i="6"/>
  <c r="K8" i="6"/>
  <c r="C8" i="6"/>
  <c r="C7" i="6"/>
  <c r="D7" i="6"/>
  <c r="E7" i="6"/>
  <c r="F7" i="6"/>
  <c r="G7" i="6"/>
  <c r="H7" i="6"/>
  <c r="I7" i="6"/>
  <c r="J7" i="6"/>
  <c r="K7" i="6"/>
  <c r="D6" i="6"/>
  <c r="E6" i="6"/>
  <c r="F6" i="6"/>
  <c r="G6" i="6"/>
  <c r="H6" i="6"/>
  <c r="I6" i="6"/>
  <c r="J6" i="6"/>
  <c r="K6" i="6"/>
  <c r="D5" i="6"/>
  <c r="E5" i="6"/>
  <c r="F5" i="6"/>
  <c r="G5" i="6"/>
  <c r="H5" i="6"/>
  <c r="I5" i="6"/>
  <c r="J5" i="6"/>
  <c r="K5" i="6"/>
  <c r="C5" i="6"/>
  <c r="C6" i="6"/>
  <c r="D4" i="6"/>
  <c r="E4" i="6"/>
  <c r="F4" i="6"/>
  <c r="G4" i="6"/>
  <c r="H4" i="6"/>
  <c r="I4" i="6"/>
  <c r="J4" i="6"/>
  <c r="K4" i="6"/>
  <c r="C4" i="6"/>
  <c r="D27" i="7"/>
  <c r="D26" i="7"/>
  <c r="D25" i="7"/>
  <c r="D24" i="7"/>
  <c r="F8" i="8"/>
  <c r="L7" i="8"/>
  <c r="K7" i="8"/>
  <c r="J7" i="8"/>
  <c r="I7" i="8"/>
  <c r="F7" i="8"/>
  <c r="I6" i="8"/>
  <c r="F6" i="8"/>
  <c r="I5" i="8"/>
  <c r="F5" i="8"/>
  <c r="I4" i="8"/>
  <c r="F4" i="8"/>
  <c r="I3" i="8"/>
  <c r="H27" i="7"/>
  <c r="H26" i="7"/>
  <c r="H25" i="7"/>
  <c r="F25" i="7"/>
  <c r="H24" i="7"/>
  <c r="F24" i="7"/>
  <c r="K19" i="7"/>
  <c r="J19" i="7"/>
  <c r="I19" i="7"/>
  <c r="H19" i="7"/>
  <c r="G19" i="7"/>
  <c r="F19" i="7"/>
  <c r="K18" i="7"/>
  <c r="J18" i="7"/>
  <c r="I18" i="7"/>
  <c r="H18" i="7"/>
  <c r="G18" i="7"/>
  <c r="F18" i="7"/>
  <c r="K17" i="7"/>
  <c r="J17" i="7"/>
  <c r="I17" i="7"/>
  <c r="H17" i="7"/>
  <c r="G17" i="7"/>
  <c r="F17" i="7"/>
  <c r="K16" i="7"/>
  <c r="J16" i="7"/>
  <c r="I16" i="7"/>
  <c r="H16" i="7"/>
  <c r="G16" i="7"/>
  <c r="F16" i="7"/>
  <c r="K15" i="7"/>
  <c r="J15" i="7"/>
  <c r="I15" i="7"/>
  <c r="C27" i="7" s="1"/>
  <c r="H15" i="7"/>
  <c r="G15" i="7"/>
  <c r="F15" i="7"/>
  <c r="C25" i="7" s="1"/>
  <c r="K14" i="7"/>
  <c r="J14" i="7"/>
  <c r="I14" i="7"/>
  <c r="C26" i="7" s="1"/>
  <c r="H14" i="7"/>
  <c r="G14" i="7"/>
  <c r="F14" i="7"/>
  <c r="C24" i="7" s="1"/>
  <c r="E10" i="7"/>
  <c r="E9" i="7"/>
  <c r="E8" i="7"/>
  <c r="E7" i="7"/>
  <c r="E6" i="7"/>
  <c r="E5" i="7"/>
  <c r="C6" i="5"/>
  <c r="C9" i="4"/>
  <c r="E14" i="3"/>
  <c r="D14" i="3"/>
  <c r="E13" i="3"/>
  <c r="D13" i="3"/>
  <c r="C13" i="3"/>
  <c r="F8" i="3"/>
  <c r="F4" i="3"/>
  <c r="G4" i="3" s="1"/>
  <c r="C32" i="2"/>
  <c r="C29" i="2"/>
  <c r="C35" i="2" s="1"/>
  <c r="C5" i="5" s="1"/>
  <c r="G27" i="7" l="1"/>
  <c r="I27" i="7" s="1"/>
  <c r="G26" i="7"/>
  <c r="I26" i="7" s="1"/>
  <c r="E25" i="7"/>
  <c r="G25" i="7" s="1"/>
  <c r="I25" i="7" s="1"/>
  <c r="G11" i="5"/>
  <c r="F11" i="5"/>
  <c r="E11" i="5"/>
  <c r="D11" i="5"/>
  <c r="C11" i="5"/>
  <c r="H4" i="3"/>
  <c r="D9" i="4"/>
  <c r="D8" i="4"/>
  <c r="G6" i="3"/>
  <c r="D7" i="4" s="1"/>
  <c r="G5" i="3"/>
  <c r="G14" i="3"/>
  <c r="E24" i="7"/>
  <c r="G24" i="7" s="1"/>
  <c r="I24" i="7" s="1"/>
  <c r="F5" i="3"/>
  <c r="F6" i="3"/>
  <c r="C7" i="4" s="1"/>
  <c r="C8" i="4"/>
  <c r="G8" i="3"/>
  <c r="H8" i="3" s="1"/>
  <c r="I8" i="3" s="1"/>
  <c r="J8" i="3" s="1"/>
  <c r="F14" i="3"/>
  <c r="E7" i="8" l="1"/>
  <c r="K6" i="8" s="1"/>
  <c r="D7" i="8"/>
  <c r="L6" i="8" s="1"/>
  <c r="C7" i="8"/>
  <c r="J6" i="8" s="1"/>
  <c r="G13" i="3"/>
  <c r="G7" i="3"/>
  <c r="H6" i="3"/>
  <c r="E7" i="4" s="1"/>
  <c r="I4" i="3"/>
  <c r="E8" i="4"/>
  <c r="H5" i="3"/>
  <c r="E9" i="4"/>
  <c r="H14" i="3"/>
  <c r="F13" i="3"/>
  <c r="F7" i="3"/>
  <c r="E6" i="8"/>
  <c r="D6" i="8"/>
  <c r="L5" i="8" s="1"/>
  <c r="C6" i="8"/>
  <c r="J5" i="8" s="1"/>
  <c r="F9" i="3" l="1"/>
  <c r="C4" i="4"/>
  <c r="C5" i="4"/>
  <c r="H13" i="3"/>
  <c r="H7" i="3"/>
  <c r="K5" i="8"/>
  <c r="F9" i="4"/>
  <c r="I14" i="3"/>
  <c r="F8" i="4"/>
  <c r="I6" i="3"/>
  <c r="F7" i="4" s="1"/>
  <c r="I5" i="3"/>
  <c r="J4" i="3"/>
  <c r="D5" i="4"/>
  <c r="G9" i="3"/>
  <c r="D4" i="4"/>
  <c r="D6" i="4" s="1"/>
  <c r="D10" i="4" s="1"/>
  <c r="D12" i="5" s="1"/>
  <c r="D13" i="5" s="1"/>
  <c r="G10" i="3" l="1"/>
  <c r="G11" i="3" s="1"/>
  <c r="J6" i="3"/>
  <c r="G7" i="4" s="1"/>
  <c r="J5" i="3"/>
  <c r="G9" i="4"/>
  <c r="G8" i="4"/>
  <c r="J14" i="3"/>
  <c r="I13" i="3"/>
  <c r="I7" i="3"/>
  <c r="H9" i="3"/>
  <c r="E5" i="4"/>
  <c r="E4" i="4"/>
  <c r="E6" i="4" s="1"/>
  <c r="E10" i="4" s="1"/>
  <c r="E12" i="5" s="1"/>
  <c r="E13" i="5" s="1"/>
  <c r="C6" i="4"/>
  <c r="C10" i="4" s="1"/>
  <c r="F10" i="3"/>
  <c r="F11" i="3"/>
  <c r="C12" i="5" l="1"/>
  <c r="C13" i="5" s="1"/>
  <c r="H10" i="3"/>
  <c r="H11" i="3"/>
  <c r="F4" i="4"/>
  <c r="F6" i="4" s="1"/>
  <c r="F10" i="4" s="1"/>
  <c r="F12" i="5" s="1"/>
  <c r="F13" i="5" s="1"/>
  <c r="F5" i="4"/>
  <c r="I9" i="3"/>
  <c r="J13" i="3"/>
  <c r="J7" i="3"/>
  <c r="G5" i="4" l="1"/>
  <c r="J9" i="3"/>
  <c r="G4" i="4"/>
  <c r="G6" i="4" s="1"/>
  <c r="G10" i="4" s="1"/>
  <c r="I10" i="3"/>
  <c r="I11" i="3" s="1"/>
  <c r="C5" i="8"/>
  <c r="J4" i="8" s="1"/>
  <c r="E5" i="8"/>
  <c r="K4" i="8" s="1"/>
  <c r="G12" i="5" l="1"/>
  <c r="G13" i="5" s="1"/>
  <c r="H13" i="5" s="1"/>
  <c r="C21" i="5" s="1"/>
  <c r="C16" i="5"/>
  <c r="C17" i="5" s="1"/>
  <c r="C18" i="5" s="1"/>
  <c r="C22" i="5" s="1"/>
  <c r="J10" i="3"/>
  <c r="J11" i="3" s="1"/>
  <c r="C23" i="5" l="1"/>
  <c r="C26" i="5" s="1"/>
  <c r="C28" i="5" s="1"/>
  <c r="D4" i="8" l="1"/>
  <c r="L3" i="8" s="1"/>
  <c r="C30" i="5"/>
  <c r="D5" i="8"/>
  <c r="L4" i="8" s="1"/>
  <c r="E4" i="8"/>
  <c r="C4" i="8"/>
  <c r="J3" i="8" s="1"/>
  <c r="K3" i="8" l="1"/>
</calcChain>
</file>

<file path=xl/sharedStrings.xml><?xml version="1.0" encoding="utf-8"?>
<sst xmlns="http://schemas.openxmlformats.org/spreadsheetml/2006/main" count="227" uniqueCount="199">
  <si>
    <t>AON PLC – DISCOUNTED CASH FLOW VALUATION</t>
  </si>
  <si>
    <t>Corporate Finance | Placement Analyst Project</t>
  </si>
  <si>
    <t>Company</t>
  </si>
  <si>
    <t>Aon plc (NYSE: AON)</t>
  </si>
  <si>
    <t>Sector</t>
  </si>
  <si>
    <t>Professional Services / Insurance Advisory</t>
  </si>
  <si>
    <t>Model Date</t>
  </si>
  <si>
    <t>Currency</t>
  </si>
  <si>
    <t>USD (millions)</t>
  </si>
  <si>
    <t>Prepared by</t>
  </si>
  <si>
    <t>Arun Drubhra</t>
  </si>
  <si>
    <t>Source</t>
  </si>
  <si>
    <t>Aon 2025 Annual Report / 10-K</t>
  </si>
  <si>
    <t>SHEET INDEX</t>
  </si>
  <si>
    <t>Assumptions</t>
  </si>
  <si>
    <t>Key model inputs and scenario drivers</t>
  </si>
  <si>
    <t>Income Statement</t>
  </si>
  <si>
    <t>Historical and projected P&amp;L</t>
  </si>
  <si>
    <t>FCF Build</t>
  </si>
  <si>
    <t>Free cash flow bridge</t>
  </si>
  <si>
    <t>DCF Valuation</t>
  </si>
  <si>
    <t>WACC, terminal value, implied price</t>
  </si>
  <si>
    <t>Sensitivity</t>
  </si>
  <si>
    <t>Price sensitivity to WACC and growth</t>
  </si>
  <si>
    <t>Trading Comps</t>
  </si>
  <si>
    <t>Peer EV/EBITDA and P/E multiples, implied prices</t>
  </si>
  <si>
    <t>Football Field</t>
  </si>
  <si>
    <t>Visual summary of valuation range across all methods</t>
  </si>
  <si>
    <t>Blue text</t>
  </si>
  <si>
    <t>Hardcoded inputs (change for scenarios)</t>
  </si>
  <si>
    <t>Black text</t>
  </si>
  <si>
    <t>Formulas / calculations</t>
  </si>
  <si>
    <t>Green text</t>
  </si>
  <si>
    <t>Links from other sheets</t>
  </si>
  <si>
    <t>Yellow fill</t>
  </si>
  <si>
    <t>Key assumptions requiring review</t>
  </si>
  <si>
    <t>MODEL ASSUMPTIONS  –  Aon plc</t>
  </si>
  <si>
    <t>Revenue Assumptions</t>
  </si>
  <si>
    <t>Assumption</t>
  </si>
  <si>
    <t>Base Case</t>
  </si>
  <si>
    <t>Note</t>
  </si>
  <si>
    <t>FY2025A Revenue (actual, $mm)</t>
  </si>
  <si>
    <t>Aon 2025 10-K (9% growth on $15,698mm)</t>
  </si>
  <si>
    <t>FY2026E Revenue Growth</t>
  </si>
  <si>
    <t>Consensus estimate ~6%</t>
  </si>
  <si>
    <t>FY2027E Revenue Growth</t>
  </si>
  <si>
    <t>Modest deceleration</t>
  </si>
  <si>
    <t>FY2028E Revenue Growth</t>
  </si>
  <si>
    <t>FY2029E Revenue Growth</t>
  </si>
  <si>
    <t>FY2030E Revenue Growth</t>
  </si>
  <si>
    <t>Margin &amp; Cost Assumptions</t>
  </si>
  <si>
    <t>EBITDA Margin (FY2025A)</t>
  </si>
  <si>
    <t>Aon 2025 Annual Report (adj. op. margin 32.4%)</t>
  </si>
  <si>
    <t>EBITDA Margin (FY2026-30E)</t>
  </si>
  <si>
    <t>Slight expansion; management guiding margin growth</t>
  </si>
  <si>
    <t>D&amp;A as % of Revenue</t>
  </si>
  <si>
    <t>~$440mm on $15.7bn rev</t>
  </si>
  <si>
    <t>Capex as % of Revenue</t>
  </si>
  <si>
    <t>Asset-light model</t>
  </si>
  <si>
    <t>Change in Working Capital (% Rev)</t>
  </si>
  <si>
    <t>Small WC outflow</t>
  </si>
  <si>
    <t>Effective Tax Rate</t>
  </si>
  <si>
    <t>Aon guided ~18-19%</t>
  </si>
  <si>
    <t>WACC Assumptions</t>
  </si>
  <si>
    <t>Value</t>
  </si>
  <si>
    <t>Risk-Free Rate (10yr UST)</t>
  </si>
  <si>
    <t>~4.3% as at June 2025</t>
  </si>
  <si>
    <t>Equity Risk Premium</t>
  </si>
  <si>
    <t>Damodaran US ERP</t>
  </si>
  <si>
    <t>Beta (5yr monthly, vs S&amp;P 500)</t>
  </si>
  <si>
    <t>Bloomberg estimate</t>
  </si>
  <si>
    <t>Cost of Equity</t>
  </si>
  <si>
    <t>RFR + Beta x ERP</t>
  </si>
  <si>
    <t>Pre-Tax Cost of Debt</t>
  </si>
  <si>
    <t>Aon senior notes avg yield</t>
  </si>
  <si>
    <t>Tax Rate (for WACC)</t>
  </si>
  <si>
    <t>Matches income statement</t>
  </si>
  <si>
    <t>After-Tax Cost of Debt</t>
  </si>
  <si>
    <t>Kd x (1-t)</t>
  </si>
  <si>
    <t>Debt / (Debt + Equity)</t>
  </si>
  <si>
    <t>Aon capital structure</t>
  </si>
  <si>
    <t>Equity / (Debt + Equity)</t>
  </si>
  <si>
    <t>WACC</t>
  </si>
  <si>
    <t>Ke x We + Kd(1-t) x Wd</t>
  </si>
  <si>
    <t>Terminal Growth Rate</t>
  </si>
  <si>
    <t>~nominal GDP growth</t>
  </si>
  <si>
    <t>INCOME STATEMENT  –  Aon plc  (USD $mm)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</si>
  <si>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</si>
  <si>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</si>
  <si>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</si>
  <si>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</si>
  <si>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</si>
  <si>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</si>
  <si>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</si>
  <si>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</si>
  <si>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Revenue</t>
  </si>
  <si>
    <t>EBITDA</t>
  </si>
  <si>
    <t>D&amp;A</t>
  </si>
  <si>
    <t>EBIT</t>
  </si>
  <si>
    <t>Interest Expense</t>
  </si>
  <si>
    <t>EBT</t>
  </si>
  <si>
    <t>Tax</t>
  </si>
  <si>
    <t>Net Income</t>
  </si>
  <si>
    <t>EBITDA Margin %</t>
  </si>
  <si>
    <t>Revenue Growth %</t>
  </si>
  <si>
    <t>FREE CASH FLOW BUILD  –  Aon plc  (USD $mm)</t>
  </si>
  <si>
    <t>Less: Taxes on EBIT</t>
  </si>
  <si>
    <t>NOPAT (Net Operating Profit after Tax)</t>
  </si>
  <si>
    <t>Add: D&amp;A</t>
  </si>
  <si>
    <t>Less: Capex</t>
  </si>
  <si>
    <t>Less: Change in Working Capital</t>
  </si>
  <si>
    <t>Unlevered Free Cash Flow</t>
  </si>
  <si>
    <t>DCF VALUATION  –  Aon plc  (USD $mm)</t>
  </si>
  <si>
    <t>Key Value Drivers</t>
  </si>
  <si>
    <t>Discount Factors &amp; PV of FCFs</t>
  </si>
  <si>
    <t>Total</t>
  </si>
  <si>
    <t>Period (n)</t>
  </si>
  <si>
    <t>Discount Factor  1/(1+WACC)^n</t>
  </si>
  <si>
    <t>Unlevered FCF ($mm)</t>
  </si>
  <si>
    <t>PV of FCF ($mm)</t>
  </si>
  <si>
    <t>Terminal Value (Gordon Growth Model)</t>
  </si>
  <si>
    <t>Terminal Year FCF (FY2029E, $mm)</t>
  </si>
  <si>
    <t>Terminal Value  =  FCF x (1+g) / (WACC – g)</t>
  </si>
  <si>
    <t>PV of Terminal Value</t>
  </si>
  <si>
    <t>Enterprise &amp; Equity Value Bridge</t>
  </si>
  <si>
    <t>PV of FCFs ($mm)</t>
  </si>
  <si>
    <t>PV of Terminal Value ($mm)</t>
  </si>
  <si>
    <t>Enterprise Value ($mm)</t>
  </si>
  <si>
    <t>Less: Net Debt ($mm)</t>
  </si>
  <si>
    <t>Source: Aon 2025 10-K (total debt $15.2bn less cash)</t>
  </si>
  <si>
    <t>Less: Minority Interests ($mm)</t>
  </si>
  <si>
    <t>Equity Value ($mm)</t>
  </si>
  <si>
    <t>Shares Outstanding (mm)</t>
  </si>
  <si>
    <t>Implied Share Price (USD)</t>
  </si>
  <si>
    <t>Current Share Price (USD, approx.)</t>
  </si>
  <si>
    <t>Implied Upside / (Downside)</t>
  </si>
  <si>
    <t>SENSITIVITY ANALYSIS  –  Implied Share Price (USD)  |  WACC vs Terminal Growth Rate</t>
  </si>
  <si>
    <t>TGR \ WACC →</t>
  </si>
  <si>
    <t>Yellow = Base Case (WACC 9.0%, TGR 2.5%)  |  Current price: ~$322  |  June 2026</t>
  </si>
  <si>
    <t>TRADING COMPARABLES  –  Aon plc  |  Professional Services / Insurance Advisory Peers</t>
  </si>
  <si>
    <t>Market Data  (USD $mm)</t>
  </si>
  <si>
    <t>EV / EBITDA</t>
  </si>
  <si>
    <t>P / E</t>
  </si>
  <si>
    <t>Mkt Cap</t>
  </si>
  <si>
    <t>Net Debt</t>
  </si>
  <si>
    <t>EV</t>
  </si>
  <si>
    <t>CY2025A</t>
  </si>
  <si>
    <t>CY2026E</t>
  </si>
  <si>
    <t>CY2027E</t>
  </si>
  <si>
    <t>Marsh &amp; McLennan (MMC)</t>
  </si>
  <si>
    <t>Willis Towers Watson (WTW)</t>
  </si>
  <si>
    <t>Arthur J. Gallagher (AJG)</t>
  </si>
  <si>
    <t>Howden Group (Private)</t>
  </si>
  <si>
    <t>Lockton (Private)</t>
  </si>
  <si>
    <t>Aon plc (AON)  ◀ Subject</t>
  </si>
  <si>
    <t>Peer Summary Statistics</t>
  </si>
  <si>
    <t>Statistic</t>
  </si>
  <si>
    <t>—</t>
  </si>
  <si>
    <t>EV/EBITDA 24A</t>
  </si>
  <si>
    <t>EV/EBITDA 25E</t>
  </si>
  <si>
    <t>EV/EBITDA 26E</t>
  </si>
  <si>
    <t>P/E 24A</t>
  </si>
  <si>
    <t>P/E 25E</t>
  </si>
  <si>
    <t>P/E 26E</t>
  </si>
  <si>
    <t>Mean</t>
  </si>
  <si>
    <t>Median</t>
  </si>
  <si>
    <t>Min</t>
  </si>
  <si>
    <t>Max</t>
  </si>
  <si>
    <t>25th Pct</t>
  </si>
  <si>
    <t>75th Pct</t>
  </si>
  <si>
    <t>Implied Share Price from Comps  (using Aon FY2025E EBITDA &amp; Net Income)</t>
  </si>
  <si>
    <t>Method</t>
  </si>
  <si>
    <t>Multiple Used</t>
  </si>
  <si>
    <t>Aon Metric ($mm)</t>
  </si>
  <si>
    <t>Implied EV / Equity ($mm)</t>
  </si>
  <si>
    <t>Less: Net Debt</t>
  </si>
  <si>
    <t>Implied Equity ($mm)</t>
  </si>
  <si>
    <t>Shares (mm)</t>
  </si>
  <si>
    <t>Implied Price (USD)</t>
  </si>
  <si>
    <t>EV/EBITDA – Mean</t>
  </si>
  <si>
    <t>EV/EBITDA – Median</t>
  </si>
  <si>
    <t>P/E – Mean</t>
  </si>
  <si>
    <t>N/A – equity method</t>
  </si>
  <si>
    <t>P/E – Median</t>
  </si>
  <si>
    <t>Source: Bloomberg / FactSet consensus estimates (June 2026). Private company multiples (Howden, Lockton) from industry reports. All figures approximate; for illustrative purposes.</t>
  </si>
  <si>
    <t>FOOTBALL FIELD  –  Aon plc Implied Share Price (USD)  |  Valuation Summary</t>
  </si>
  <si>
    <t>Label</t>
  </si>
  <si>
    <t>Low</t>
  </si>
  <si>
    <t>Bar Width</t>
  </si>
  <si>
    <t>Mid</t>
  </si>
  <si>
    <t>Methodology</t>
  </si>
  <si>
    <t>Mid / Base</t>
  </si>
  <si>
    <t>High</t>
  </si>
  <si>
    <t>Current Price</t>
  </si>
  <si>
    <t>DCF – Base Case</t>
  </si>
  <si>
    <t>DCF – Sensitivity Range</t>
  </si>
  <si>
    <t>EV/EBITDA Comps</t>
  </si>
  <si>
    <t>P/E Comps</t>
  </si>
  <si>
    <t>52-Week Trading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</si>
</sst>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"/>
    <numFmt numFmtId="166" formatCode="0.0000"/>
    <numFmt numFmtId="167" formatCode="\$#,##0.00"/>
    <numFmt numFmtId="168" formatCode="0.0\x"/>
  </numFmts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AA00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00AA00"/>
      <name val="Arial"/>
      <charset val="1"/>
    </font>
    <font>
      <sz val="10"/>
      <color rgb="FF00AA00"/>
      <name val="Arial"/>
      <charset val="1"/>
    </font>
    <font>
      <b/>
      <sz val="12"/>
      <color rgb="FF000000"/>
      <name val="Arial"/>
      <charset val="1"/>
    </font>
    <font>
      <i/>
      <sz val="8"/>
      <color rgb="FF66666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4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6" borderId="0" xfId="0" applyFont="1" applyFill="1"/>
    <xf numFmtId="0" fontId="10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164" fontId="11" fillId="6" borderId="0" xfId="0" applyNumberFormat="1" applyFont="1" applyFill="1" applyAlignment="1">
      <alignment horizontal="right" vertical="center"/>
    </xf>
    <xf numFmtId="0" fontId="12" fillId="4" borderId="0" xfId="0" applyFont="1" applyFill="1"/>
    <xf numFmtId="0" fontId="4" fillId="5" borderId="0" xfId="0" applyFont="1" applyFill="1" applyAlignment="1">
      <alignment horizontal="left" vertical="center" indent="1"/>
    </xf>
    <xf numFmtId="165" fontId="11" fillId="5" borderId="0" xfId="0" applyNumberFormat="1" applyFont="1" applyFill="1" applyAlignment="1">
      <alignment horizontal="right" vertical="center"/>
    </xf>
    <xf numFmtId="0" fontId="12" fillId="5" borderId="0" xfId="0" applyFont="1" applyFill="1"/>
    <xf numFmtId="165" fontId="11" fillId="4" borderId="0" xfId="0" applyNumberFormat="1" applyFont="1" applyFill="1" applyAlignment="1">
      <alignment horizontal="right" vertical="center"/>
    </xf>
    <xf numFmtId="165" fontId="11" fillId="6" borderId="0" xfId="0" applyNumberFormat="1" applyFont="1" applyFill="1" applyAlignment="1">
      <alignment horizontal="right" vertical="center"/>
    </xf>
    <xf numFmtId="2" fontId="11" fillId="4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164" fontId="11" fillId="4" borderId="0" xfId="0" applyNumberFormat="1" applyFont="1" applyFill="1" applyAlignment="1">
      <alignment horizontal="right" vertical="center"/>
    </xf>
    <xf numFmtId="164" fontId="4" fillId="4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 indent="1"/>
    </xf>
    <xf numFmtId="164" fontId="13" fillId="5" borderId="0" xfId="0" applyNumberFormat="1" applyFont="1" applyFill="1" applyAlignment="1">
      <alignment horizontal="right" vertical="center"/>
    </xf>
    <xf numFmtId="164" fontId="3" fillId="5" borderId="0" xfId="0" applyNumberFormat="1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 indent="1"/>
    </xf>
    <xf numFmtId="165" fontId="3" fillId="7" borderId="0" xfId="0" applyNumberFormat="1" applyFont="1" applyFill="1" applyAlignment="1">
      <alignment horizontal="right" vertical="center"/>
    </xf>
    <xf numFmtId="0" fontId="0" fillId="7" borderId="0" xfId="0" applyFill="1"/>
    <xf numFmtId="164" fontId="14" fillId="4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164" fontId="3" fillId="7" borderId="0" xfId="0" applyNumberFormat="1" applyFont="1" applyFill="1" applyAlignment="1">
      <alignment horizontal="right" vertical="center"/>
    </xf>
    <xf numFmtId="164" fontId="15" fillId="5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165" fontId="15" fillId="0" borderId="0" xfId="0" applyNumberFormat="1" applyFont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1" fontId="11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7" fontId="16" fillId="6" borderId="0" xfId="0" applyNumberFormat="1" applyFont="1" applyFill="1" applyAlignment="1">
      <alignment horizontal="right" vertical="center"/>
    </xf>
    <xf numFmtId="167" fontId="11" fillId="6" borderId="0" xfId="0" applyNumberFormat="1" applyFont="1" applyFill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10" fillId="3" borderId="0" xfId="0" applyNumberFormat="1" applyFont="1" applyFill="1" applyAlignment="1">
      <alignment horizontal="center" vertical="center"/>
    </xf>
    <xf numFmtId="165" fontId="8" fillId="7" borderId="0" xfId="0" applyNumberFormat="1" applyFont="1" applyFill="1" applyAlignment="1">
      <alignment horizontal="center" vertical="center"/>
    </xf>
    <xf numFmtId="167" fontId="7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/>
    <xf numFmtId="168" fontId="11" fillId="4" borderId="0" xfId="0" applyNumberFormat="1" applyFont="1" applyFill="1" applyAlignment="1">
      <alignment horizontal="center" vertical="center"/>
    </xf>
    <xf numFmtId="164" fontId="4" fillId="5" borderId="0" xfId="0" applyNumberFormat="1" applyFont="1" applyFill="1"/>
    <xf numFmtId="168" fontId="11" fillId="5" borderId="0" xfId="0" applyNumberFormat="1" applyFont="1" applyFill="1" applyAlignment="1">
      <alignment horizontal="center" vertical="center"/>
    </xf>
    <xf numFmtId="164" fontId="3" fillId="7" borderId="0" xfId="0" applyNumberFormat="1" applyFont="1" applyFill="1"/>
    <xf numFmtId="168" fontId="13" fillId="7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0" fillId="4" borderId="0" xfId="0" applyFill="1"/>
    <xf numFmtId="168" fontId="4" fillId="4" borderId="0" xfId="0" applyNumberFormat="1" applyFont="1" applyFill="1" applyAlignment="1">
      <alignment horizontal="center" vertical="center"/>
    </xf>
    <xf numFmtId="0" fontId="0" fillId="5" borderId="0" xfId="0" applyFill="1"/>
    <xf numFmtId="168" fontId="4" fillId="5" borderId="0" xfId="0" applyNumberFormat="1" applyFont="1" applyFill="1" applyAlignment="1">
      <alignment horizontal="center" vertical="center"/>
    </xf>
    <xf numFmtId="168" fontId="15" fillId="4" borderId="0" xfId="0" applyNumberFormat="1" applyFont="1" applyFill="1" applyAlignment="1">
      <alignment horizontal="center" vertical="center"/>
    </xf>
    <xf numFmtId="164" fontId="15" fillId="4" borderId="0" xfId="0" applyNumberFormat="1" applyFont="1" applyFill="1" applyAlignment="1">
      <alignment horizontal="right" vertical="center"/>
    </xf>
    <xf numFmtId="164" fontId="15" fillId="4" borderId="0" xfId="0" applyNumberFormat="1" applyFont="1" applyFill="1"/>
    <xf numFmtId="164" fontId="3" fillId="4" borderId="0" xfId="0" applyNumberFormat="1" applyFont="1" applyFill="1"/>
    <xf numFmtId="167" fontId="3" fillId="7" borderId="0" xfId="0" applyNumberFormat="1" applyFont="1" applyFill="1"/>
    <xf numFmtId="168" fontId="15" fillId="5" borderId="0" xfId="0" applyNumberFormat="1" applyFont="1" applyFill="1" applyAlignment="1">
      <alignment horizontal="center" vertical="center"/>
    </xf>
    <xf numFmtId="164" fontId="15" fillId="5" borderId="0" xfId="0" applyNumberFormat="1" applyFont="1" applyFill="1"/>
    <xf numFmtId="164" fontId="3" fillId="5" borderId="0" xfId="0" applyNumberFormat="1" applyFont="1" applyFill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7" fontId="0" fillId="0" borderId="0" xfId="0" applyNumberFormat="1"/>
    <xf numFmtId="167" fontId="4" fillId="7" borderId="0" xfId="0" applyNumberFormat="1" applyFont="1" applyFill="1" applyAlignment="1">
      <alignment horizontal="center" vertical="center"/>
    </xf>
    <xf numFmtId="167" fontId="3" fillId="7" borderId="0" xfId="0" applyNumberFormat="1" applyFont="1" applyFill="1" applyAlignment="1">
      <alignment horizontal="center" vertical="center"/>
    </xf>
    <xf numFmtId="167" fontId="15" fillId="7" borderId="0" xfId="0" applyNumberFormat="1" applyFont="1" applyFill="1" applyAlignment="1">
      <alignment horizontal="center" vertical="center"/>
    </xf>
    <xf numFmtId="167" fontId="4" fillId="4" borderId="0" xfId="0" applyNumberFormat="1" applyFont="1" applyFill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167" fontId="15" fillId="4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167" fontId="4" fillId="8" borderId="0" xfId="0" applyNumberFormat="1" applyFont="1" applyFill="1" applyAlignment="1">
      <alignment horizontal="center" vertical="center"/>
    </xf>
    <xf numFmtId="167" fontId="3" fillId="8" borderId="0" xfId="0" applyNumberFormat="1" applyFont="1" applyFill="1" applyAlignment="1">
      <alignment horizontal="center" vertical="center"/>
    </xf>
    <xf numFmtId="167" fontId="15" fillId="8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 indent="1"/>
    </xf>
    <xf numFmtId="167" fontId="11" fillId="9" borderId="0" xfId="0" applyNumberFormat="1" applyFont="1" applyFill="1" applyAlignment="1">
      <alignment horizontal="center" vertical="center"/>
    </xf>
    <xf numFmtId="167" fontId="13" fillId="9" borderId="0" xfId="0" applyNumberFormat="1" applyFont="1" applyFill="1" applyAlignment="1">
      <alignment horizontal="center" vertical="center"/>
    </xf>
    <xf numFmtId="167" fontId="15" fillId="9" borderId="0" xfId="0" applyNumberFormat="1" applyFont="1" applyFill="1" applyAlignment="1">
      <alignment horizontal="center" vertical="center"/>
    </xf>
    <xf numFmtId="17" fontId="4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12" fillId="0" borderId="0" xfId="0" applyFont="1"/>
    <xf numFmtId="0" fontId="17" fillId="0" borderId="0" xfId="0" applyFont="1" applyAlignment="1">
      <alignment horizontal="left" vertical="center" indent="1"/>
    </xf>
    <xf numFmtId="0" fontId="1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A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66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Aon plc  –  Football Field Valuation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Field'!$J$2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FFFFFF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Field'!$I$3:$I$7</c:f>
              <c:strCache>
                <c:ptCount val="5"/>
                <c:pt idx="0">
                  <c:v>DCF – Base Case</c:v>
                </c:pt>
                <c:pt idx="1">
                  <c:v>DCF – Sensitivity Range</c:v>
                </c:pt>
                <c:pt idx="2">
                  <c:v>EV/EBITDA Comps</c:v>
                </c:pt>
                <c:pt idx="3">
                  <c:v>P/E Comps</c:v>
                </c:pt>
                <c:pt idx="4">
                  <c:v>52-Week Trading Range</c:v>
                </c:pt>
              </c:strCache>
            </c:strRef>
          </c:cat>
          <c:val>
            <c:numRef>
              <c:f>'Football Field'!$J$3:$J$7</c:f>
              <c:numCache>
                <c:formatCode>\$#,##0.00</c:formatCode>
                <c:ptCount val="5"/>
                <c:pt idx="0">
                  <c:v>388.96410195193073</c:v>
                </c:pt>
                <c:pt idx="1">
                  <c:v>184.36442151998091</c:v>
                </c:pt>
                <c:pt idx="2">
                  <c:v>345.23738317757011</c:v>
                </c:pt>
                <c:pt idx="3">
                  <c:v>370.09345794392522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5-4A19-AA4A-A57882C4C6B2}"/>
            </c:ext>
          </c:extLst>
        </c:ser>
        <c:ser>
          <c:idx val="1"/>
          <c:order val="1"/>
          <c:tx>
            <c:strRef>
              <c:f>'Football Field'!$K$2</c:f>
              <c:strCache>
                <c:ptCount val="1"/>
                <c:pt idx="0">
                  <c:v>Bar Width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Field'!$I$3:$I$7</c:f>
              <c:strCache>
                <c:ptCount val="5"/>
                <c:pt idx="0">
                  <c:v>DCF – Base Case</c:v>
                </c:pt>
                <c:pt idx="1">
                  <c:v>DCF – Sensitivity Range</c:v>
                </c:pt>
                <c:pt idx="2">
                  <c:v>EV/EBITDA Comps</c:v>
                </c:pt>
                <c:pt idx="3">
                  <c:v>P/E Comps</c:v>
                </c:pt>
                <c:pt idx="4">
                  <c:v>52-Week Trading Range</c:v>
                </c:pt>
              </c:strCache>
            </c:strRef>
          </c:cat>
          <c:val>
            <c:numRef>
              <c:f>'Football Field'!$K$3:$K$7</c:f>
              <c:numCache>
                <c:formatCode>\$#,##0.00</c:formatCode>
                <c:ptCount val="5"/>
                <c:pt idx="0">
                  <c:v>0</c:v>
                </c:pt>
                <c:pt idx="1">
                  <c:v>268.25959227087219</c:v>
                </c:pt>
                <c:pt idx="2">
                  <c:v>9.3297196261681847</c:v>
                </c:pt>
                <c:pt idx="3">
                  <c:v>28.94953271028038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5-4A19-AA4A-A57882C4C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983"/>
        <c:axId val="50281490"/>
      </c:barChart>
      <c:catAx>
        <c:axId val="971229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Implied Share Price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81490"/>
        <c:crosses val="autoZero"/>
        <c:auto val="1"/>
        <c:lblAlgn val="ctr"/>
        <c:lblOffset val="100"/>
        <c:noMultiLvlLbl val="0"/>
      </c:catAx>
      <c:valAx>
        <c:axId val="5028149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1229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8</xdr:col>
      <xdr:colOff>1613520</xdr:colOff>
      <xdr:row>33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3:C24"/>
  <sheetViews>
    <sheetView showGridLines="0" zoomScaleNormal="100" workbookViewId="0">
      <selection activeCell="F11" sqref="F11"/>
    </sheetView>
  </sheetViews>
  <sheetFormatPr defaultColWidth="8.6328125" defaultRowHeight="14.5" x14ac:dyDescent="0.35"/>
  <cols>
    <col min="1" max="1" width="5" customWidth="1"/>
    <col min="2" max="2" width="50" customWidth="1"/>
    <col min="3" max="3" width="30" customWidth="1"/>
  </cols>
  <sheetData>
    <row r="3" spans="2:3" ht="39.75" customHeight="1" x14ac:dyDescent="0.35">
      <c r="B3" s="90" t="s">
        <v>0</v>
      </c>
      <c r="C3" s="90"/>
    </row>
    <row r="4" spans="2:3" ht="19.5" customHeight="1" x14ac:dyDescent="0.35">
      <c r="B4" s="91" t="s">
        <v>1</v>
      </c>
      <c r="C4" s="91"/>
    </row>
    <row r="6" spans="2:3" ht="15" customHeight="1" x14ac:dyDescent="0.35">
      <c r="B6" s="2" t="s">
        <v>2</v>
      </c>
      <c r="C6" s="3" t="s">
        <v>3</v>
      </c>
    </row>
    <row r="7" spans="2:3" ht="15" customHeight="1" x14ac:dyDescent="0.35">
      <c r="B7" s="2" t="s">
        <v>4</v>
      </c>
      <c r="C7" s="3" t="s">
        <v>5</v>
      </c>
    </row>
    <row r="8" spans="2:3" ht="15" customHeight="1" x14ac:dyDescent="0.35">
      <c r="B8" s="2" t="s">
        <v>6</v>
      </c>
      <c r="C8" s="89">
        <v>46113</v>
      </c>
    </row>
    <row r="9" spans="2:3" ht="15" customHeight="1" x14ac:dyDescent="0.35">
      <c r="B9" s="2" t="s">
        <v>7</v>
      </c>
      <c r="C9" s="3" t="s">
        <v>8</v>
      </c>
    </row>
    <row r="10" spans="2:3" ht="15" customHeight="1" x14ac:dyDescent="0.35">
      <c r="B10" s="2" t="s">
        <v>9</v>
      </c>
      <c r="C10" s="3" t="s">
        <v>10</v>
      </c>
    </row>
    <row r="11" spans="2:3" ht="15" customHeight="1" x14ac:dyDescent="0.35">
      <c r="B11" s="2" t="s">
        <v>11</v>
      </c>
      <c r="C11" s="3" t="s">
        <v>12</v>
      </c>
    </row>
    <row r="13" spans="2:3" ht="19.5" customHeight="1" x14ac:dyDescent="0.35">
      <c r="B13" s="92" t="s">
        <v>13</v>
      </c>
      <c r="C13" s="92"/>
    </row>
    <row r="14" spans="2:3" ht="15" customHeight="1" x14ac:dyDescent="0.35">
      <c r="B14" s="4" t="s">
        <v>14</v>
      </c>
      <c r="C14" s="5" t="s">
        <v>15</v>
      </c>
    </row>
    <row r="15" spans="2:3" ht="15" customHeight="1" x14ac:dyDescent="0.35">
      <c r="B15" s="6" t="s">
        <v>16</v>
      </c>
      <c r="C15" s="7" t="s">
        <v>17</v>
      </c>
    </row>
    <row r="16" spans="2:3" ht="15" customHeight="1" x14ac:dyDescent="0.35">
      <c r="B16" s="4" t="s">
        <v>18</v>
      </c>
      <c r="C16" s="5" t="s">
        <v>19</v>
      </c>
    </row>
    <row r="17" spans="2:3" ht="15" customHeight="1" x14ac:dyDescent="0.35">
      <c r="B17" s="6" t="s">
        <v>20</v>
      </c>
      <c r="C17" s="7" t="s">
        <v>21</v>
      </c>
    </row>
    <row r="18" spans="2:3" ht="15" customHeight="1" x14ac:dyDescent="0.35">
      <c r="B18" s="4" t="s">
        <v>22</v>
      </c>
      <c r="C18" s="5" t="s">
        <v>23</v>
      </c>
    </row>
    <row r="19" spans="2:3" ht="15" customHeight="1" x14ac:dyDescent="0.35">
      <c r="B19" s="2" t="s">
        <v>24</v>
      </c>
      <c r="C19" s="3" t="s">
        <v>25</v>
      </c>
    </row>
    <row r="20" spans="2:3" ht="15" customHeight="1" x14ac:dyDescent="0.35">
      <c r="B20" s="2" t="s">
        <v>26</v>
      </c>
      <c r="C20" s="3" t="s">
        <v>27</v>
      </c>
    </row>
    <row r="21" spans="2:3" ht="15" customHeight="1" x14ac:dyDescent="0.35">
      <c r="B21" s="8" t="s">
        <v>28</v>
      </c>
      <c r="C21" s="9" t="s">
        <v>29</v>
      </c>
    </row>
    <row r="22" spans="2:3" ht="15" customHeight="1" x14ac:dyDescent="0.35">
      <c r="B22" s="10" t="s">
        <v>30</v>
      </c>
      <c r="C22" s="9" t="s">
        <v>31</v>
      </c>
    </row>
    <row r="23" spans="2:3" ht="15" customHeight="1" x14ac:dyDescent="0.35">
      <c r="B23" s="11" t="s">
        <v>32</v>
      </c>
      <c r="C23" s="9" t="s">
        <v>33</v>
      </c>
    </row>
    <row r="24" spans="2:3" ht="15" customHeight="1" x14ac:dyDescent="0.35">
      <c r="B24" s="12" t="s">
        <v>34</v>
      </c>
      <c r="C24" s="9" t="s">
        <v>35</v>
      </c>
    </row>
  </sheetData>
  <mergeCells count="3">
    <mergeCell ref="B3:C3"/>
    <mergeCell ref="B4:C4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2:D3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8" customWidth="1"/>
    <col min="3" max="4" width="18" customWidth="1"/>
  </cols>
  <sheetData>
    <row r="2" spans="2:4" ht="15" customHeight="1" x14ac:dyDescent="0.35">
      <c r="B2" s="92" t="s">
        <v>36</v>
      </c>
      <c r="C2" s="92"/>
      <c r="D2" s="92"/>
    </row>
    <row r="4" spans="2:4" ht="15" customHeight="1" x14ac:dyDescent="0.35">
      <c r="B4" s="93" t="s">
        <v>37</v>
      </c>
      <c r="C4" s="93"/>
      <c r="D4" s="93"/>
    </row>
    <row r="5" spans="2:4" ht="15" customHeight="1" x14ac:dyDescent="0.35">
      <c r="B5" s="13" t="s">
        <v>38</v>
      </c>
      <c r="C5" s="13" t="s">
        <v>39</v>
      </c>
      <c r="D5" s="13" t="s">
        <v>40</v>
      </c>
    </row>
    <row r="6" spans="2:4" ht="15" customHeight="1" x14ac:dyDescent="0.35">
      <c r="B6" s="14" t="s">
        <v>41</v>
      </c>
      <c r="C6" s="15">
        <v>17111</v>
      </c>
      <c r="D6" s="16" t="s">
        <v>42</v>
      </c>
    </row>
    <row r="7" spans="2:4" ht="15" customHeight="1" x14ac:dyDescent="0.35">
      <c r="B7" s="17" t="s">
        <v>43</v>
      </c>
      <c r="C7" s="18">
        <v>5.5E-2</v>
      </c>
      <c r="D7" s="19" t="s">
        <v>44</v>
      </c>
    </row>
    <row r="8" spans="2:4" ht="15" customHeight="1" x14ac:dyDescent="0.35">
      <c r="B8" s="14" t="s">
        <v>45</v>
      </c>
      <c r="C8" s="20">
        <v>5.1999999999999998E-2</v>
      </c>
      <c r="D8" s="16" t="s">
        <v>46</v>
      </c>
    </row>
    <row r="9" spans="2:4" ht="15" customHeight="1" x14ac:dyDescent="0.35">
      <c r="B9" s="17" t="s">
        <v>47</v>
      </c>
      <c r="C9" s="18">
        <v>0.05</v>
      </c>
      <c r="D9" s="19"/>
    </row>
    <row r="10" spans="2:4" ht="15" customHeight="1" x14ac:dyDescent="0.35">
      <c r="B10" s="14" t="s">
        <v>48</v>
      </c>
      <c r="C10" s="20">
        <v>4.8000000000000001E-2</v>
      </c>
      <c r="D10" s="16"/>
    </row>
    <row r="11" spans="2:4" ht="15" customHeight="1" x14ac:dyDescent="0.35">
      <c r="B11" s="17" t="s">
        <v>49</v>
      </c>
      <c r="C11" s="18">
        <v>4.4999999999999998E-2</v>
      </c>
      <c r="D11" s="19"/>
    </row>
    <row r="14" spans="2:4" ht="15" customHeight="1" x14ac:dyDescent="0.35">
      <c r="B14" s="93" t="s">
        <v>50</v>
      </c>
      <c r="C14" s="93"/>
      <c r="D14" s="93"/>
    </row>
    <row r="15" spans="2:4" ht="15" customHeight="1" x14ac:dyDescent="0.35">
      <c r="B15" s="13" t="s">
        <v>38</v>
      </c>
      <c r="C15" s="13" t="s">
        <v>39</v>
      </c>
      <c r="D15" s="13" t="s">
        <v>40</v>
      </c>
    </row>
    <row r="16" spans="2:4" ht="15" customHeight="1" x14ac:dyDescent="0.35">
      <c r="B16" s="14" t="s">
        <v>51</v>
      </c>
      <c r="C16" s="21">
        <v>0.32400000000000001</v>
      </c>
      <c r="D16" s="16" t="s">
        <v>52</v>
      </c>
    </row>
    <row r="17" spans="2:4" ht="15" customHeight="1" x14ac:dyDescent="0.35">
      <c r="B17" s="17" t="s">
        <v>53</v>
      </c>
      <c r="C17" s="21">
        <v>0.33</v>
      </c>
      <c r="D17" s="19" t="s">
        <v>54</v>
      </c>
    </row>
    <row r="18" spans="2:4" ht="15" customHeight="1" x14ac:dyDescent="0.35">
      <c r="B18" s="14" t="s">
        <v>55</v>
      </c>
      <c r="C18" s="20">
        <v>2.8000000000000001E-2</v>
      </c>
      <c r="D18" s="16" t="s">
        <v>56</v>
      </c>
    </row>
    <row r="19" spans="2:4" ht="15" customHeight="1" x14ac:dyDescent="0.35">
      <c r="B19" s="17" t="s">
        <v>57</v>
      </c>
      <c r="C19" s="18">
        <v>1.7999999999999999E-2</v>
      </c>
      <c r="D19" s="19" t="s">
        <v>58</v>
      </c>
    </row>
    <row r="20" spans="2:4" ht="15" customHeight="1" x14ac:dyDescent="0.35">
      <c r="B20" s="14" t="s">
        <v>59</v>
      </c>
      <c r="C20" s="20">
        <v>-5.0000000000000001E-3</v>
      </c>
      <c r="D20" s="16" t="s">
        <v>60</v>
      </c>
    </row>
    <row r="21" spans="2:4" ht="15" customHeight="1" x14ac:dyDescent="0.35">
      <c r="B21" s="17" t="s">
        <v>61</v>
      </c>
      <c r="C21" s="18">
        <v>0.185</v>
      </c>
      <c r="D21" s="19" t="s">
        <v>62</v>
      </c>
    </row>
    <row r="24" spans="2:4" ht="15" customHeight="1" x14ac:dyDescent="0.35">
      <c r="B24" s="93" t="s">
        <v>63</v>
      </c>
      <c r="C24" s="93"/>
      <c r="D24" s="93"/>
    </row>
    <row r="25" spans="2:4" ht="15" customHeight="1" x14ac:dyDescent="0.35">
      <c r="B25" s="13" t="s">
        <v>38</v>
      </c>
      <c r="C25" s="13" t="s">
        <v>64</v>
      </c>
      <c r="D25" s="13" t="s">
        <v>40</v>
      </c>
    </row>
    <row r="26" spans="2:4" ht="15" customHeight="1" x14ac:dyDescent="0.35">
      <c r="B26" s="14" t="s">
        <v>65</v>
      </c>
      <c r="C26" s="21">
        <v>4.2999999999999997E-2</v>
      </c>
      <c r="D26" s="16" t="s">
        <v>66</v>
      </c>
    </row>
    <row r="27" spans="2:4" ht="15" customHeight="1" x14ac:dyDescent="0.35">
      <c r="B27" s="17" t="s">
        <v>67</v>
      </c>
      <c r="C27" s="18">
        <v>5.5E-2</v>
      </c>
      <c r="D27" s="19" t="s">
        <v>68</v>
      </c>
    </row>
    <row r="28" spans="2:4" ht="15" customHeight="1" x14ac:dyDescent="0.35">
      <c r="B28" s="14" t="s">
        <v>69</v>
      </c>
      <c r="C28" s="22">
        <v>1.05</v>
      </c>
      <c r="D28" s="16" t="s">
        <v>70</v>
      </c>
    </row>
    <row r="29" spans="2:4" ht="15" customHeight="1" x14ac:dyDescent="0.35">
      <c r="B29" s="17" t="s">
        <v>71</v>
      </c>
      <c r="C29" s="23">
        <f>C26+C28*C27</f>
        <v>0.10075000000000001</v>
      </c>
      <c r="D29" s="19" t="s">
        <v>72</v>
      </c>
    </row>
    <row r="30" spans="2:4" ht="15" customHeight="1" x14ac:dyDescent="0.35">
      <c r="B30" s="14" t="s">
        <v>73</v>
      </c>
      <c r="C30" s="20">
        <v>5.1999999999999998E-2</v>
      </c>
      <c r="D30" s="16" t="s">
        <v>74</v>
      </c>
    </row>
    <row r="31" spans="2:4" ht="15" customHeight="1" x14ac:dyDescent="0.35">
      <c r="B31" s="17" t="s">
        <v>75</v>
      </c>
      <c r="C31" s="18">
        <v>0.19</v>
      </c>
      <c r="D31" s="19" t="s">
        <v>76</v>
      </c>
    </row>
    <row r="32" spans="2:4" ht="15" customHeight="1" x14ac:dyDescent="0.35">
      <c r="B32" s="14" t="s">
        <v>77</v>
      </c>
      <c r="C32" s="24">
        <f>C30*(1-C31)</f>
        <v>4.2119999999999998E-2</v>
      </c>
      <c r="D32" s="16" t="s">
        <v>78</v>
      </c>
    </row>
    <row r="33" spans="2:4" ht="15" customHeight="1" x14ac:dyDescent="0.35">
      <c r="B33" s="17" t="s">
        <v>79</v>
      </c>
      <c r="C33" s="18">
        <v>0.38</v>
      </c>
      <c r="D33" s="19" t="s">
        <v>80</v>
      </c>
    </row>
    <row r="34" spans="2:4" ht="15" customHeight="1" x14ac:dyDescent="0.35">
      <c r="B34" s="14" t="s">
        <v>81</v>
      </c>
      <c r="C34" s="20">
        <v>0.62</v>
      </c>
      <c r="D34" s="16"/>
    </row>
    <row r="35" spans="2:4" ht="15" customHeight="1" x14ac:dyDescent="0.35">
      <c r="B35" s="17" t="s">
        <v>82</v>
      </c>
      <c r="C35" s="23">
        <f>C29*C34+C32*C33</f>
        <v>7.8470600000000001E-2</v>
      </c>
      <c r="D35" s="19" t="s">
        <v>83</v>
      </c>
    </row>
    <row r="36" spans="2:4" ht="15" customHeight="1" x14ac:dyDescent="0.35">
      <c r="B36" s="14" t="s">
        <v>84</v>
      </c>
      <c r="C36" s="21">
        <v>2.5000000000000001E-2</v>
      </c>
      <c r="D36" s="16" t="s">
        <v>85</v>
      </c>
    </row>
  </sheetData>
  <mergeCells count="4">
    <mergeCell ref="B2:D2"/>
    <mergeCell ref="B4:D4"/>
    <mergeCell ref="B14:D14"/>
    <mergeCell ref="B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2:J1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6" customWidth="1"/>
    <col min="3" max="10" width="13" customWidth="1"/>
  </cols>
  <sheetData>
    <row r="2" spans="2:10" ht="15" customHeight="1" x14ac:dyDescent="0.35">
      <c r="B2" s="92" t="s">
        <v>86</v>
      </c>
      <c r="C2" s="92"/>
      <c r="D2" s="92"/>
      <c r="E2" s="92"/>
      <c r="F2" s="92"/>
      <c r="G2" s="92"/>
      <c r="H2" s="92"/>
      <c r="I2" s="92"/>
      <c r="J2" s="92"/>
    </row>
    <row r="3" spans="2:10" ht="15" customHeight="1" x14ac:dyDescent="0.35">
      <c r="B3" s="13"/>
      <c r="C3" s="13" t="s">
        <v>87</v>
      </c>
      <c r="D3" s="13" t="s">
        <v>88</v>
      </c>
      <c r="E3" s="13" t="s">
        <v>89</v>
      </c>
      <c r="F3" s="13" t="s">
        <v>90</v>
      </c>
      <c r="G3" s="13" t="s">
        <v>91</v>
      </c>
      <c r="H3" s="13" t="s">
        <v>92</v>
      </c>
      <c r="I3" s="13" t="s">
        <v>93</v>
      </c>
      <c r="J3" s="13" t="s">
        <v>94</v>
      </c>
    </row>
    <row r="4" spans="2:10" ht="15" customHeight="1" x14ac:dyDescent="0.35">
      <c r="B4" s="14" t="s">
        <v>95</v>
      </c>
      <c r="C4" s="25">
        <v>13376</v>
      </c>
      <c r="D4" s="25">
        <v>15698</v>
      </c>
      <c r="E4" s="25">
        <v>17111</v>
      </c>
      <c r="F4" s="26">
        <f>E4*(1+Assumptions!$C$7)</f>
        <v>18052.105</v>
      </c>
      <c r="G4" s="26">
        <f>F4*(1+Assumptions!$C$8)</f>
        <v>18990.814460000001</v>
      </c>
      <c r="H4" s="26">
        <f>G4*(1+Assumptions!$C$9)</f>
        <v>19940.355183000003</v>
      </c>
      <c r="I4" s="26">
        <f>H4*(1+Assumptions!$C$10)</f>
        <v>20897.492231784003</v>
      </c>
      <c r="J4" s="26">
        <f>I4*(1+Assumptions!$C$11)</f>
        <v>21837.87938221428</v>
      </c>
    </row>
    <row r="5" spans="2:10" ht="15" customHeight="1" x14ac:dyDescent="0.35">
      <c r="B5" s="27" t="s">
        <v>96</v>
      </c>
      <c r="C5" s="28">
        <v>4011</v>
      </c>
      <c r="D5" s="28">
        <v>4934</v>
      </c>
      <c r="E5" s="28">
        <v>5546</v>
      </c>
      <c r="F5" s="29">
        <f>F4*Assumptions!$C$17</f>
        <v>5957.1946500000004</v>
      </c>
      <c r="G5" s="29">
        <f>G4*Assumptions!$C$17</f>
        <v>6266.9687718000005</v>
      </c>
      <c r="H5" s="29">
        <f>H4*Assumptions!$C$17</f>
        <v>6580.3172103900015</v>
      </c>
      <c r="I5" s="29">
        <f>I4*Assumptions!$C$17</f>
        <v>6896.1724364887214</v>
      </c>
      <c r="J5" s="29">
        <f>J4*Assumptions!$C$17</f>
        <v>7206.5001961307125</v>
      </c>
    </row>
    <row r="6" spans="2:10" ht="15" customHeight="1" x14ac:dyDescent="0.35">
      <c r="B6" s="14" t="s">
        <v>97</v>
      </c>
      <c r="C6" s="25">
        <v>366</v>
      </c>
      <c r="D6" s="25">
        <v>440</v>
      </c>
      <c r="E6" s="25">
        <v>480</v>
      </c>
      <c r="F6" s="26">
        <f>F4*Assumptions!$C$18</f>
        <v>505.45893999999998</v>
      </c>
      <c r="G6" s="26">
        <f>G4*Assumptions!$C$18</f>
        <v>531.74280487999999</v>
      </c>
      <c r="H6" s="26">
        <f>H4*Assumptions!$C$18</f>
        <v>558.32994512400012</v>
      </c>
      <c r="I6" s="26">
        <f>I4*Assumptions!$C$18</f>
        <v>585.12978248995205</v>
      </c>
      <c r="J6" s="26">
        <f>J4*Assumptions!$C$18</f>
        <v>611.4606227019998</v>
      </c>
    </row>
    <row r="7" spans="2:10" ht="15" customHeight="1" x14ac:dyDescent="0.35">
      <c r="B7" s="27" t="s">
        <v>98</v>
      </c>
      <c r="C7" s="28">
        <v>3645</v>
      </c>
      <c r="D7" s="28">
        <v>4494</v>
      </c>
      <c r="E7" s="28">
        <v>5066</v>
      </c>
      <c r="F7" s="29">
        <f>F5-F6</f>
        <v>5451.7357100000008</v>
      </c>
      <c r="G7" s="29">
        <f>G5-G6</f>
        <v>5735.2259669200002</v>
      </c>
      <c r="H7" s="29">
        <f>H5-H6</f>
        <v>6021.9872652660015</v>
      </c>
      <c r="I7" s="29">
        <f>I5-I6</f>
        <v>6311.0426539987693</v>
      </c>
      <c r="J7" s="29">
        <f>J5-J6</f>
        <v>6595.0395734287131</v>
      </c>
    </row>
    <row r="8" spans="2:10" ht="15" customHeight="1" x14ac:dyDescent="0.35">
      <c r="B8" s="14" t="s">
        <v>99</v>
      </c>
      <c r="C8" s="25">
        <v>520</v>
      </c>
      <c r="D8" s="25">
        <v>608</v>
      </c>
      <c r="E8" s="25">
        <v>720</v>
      </c>
      <c r="F8" s="26">
        <f>E8*1.02</f>
        <v>734.4</v>
      </c>
      <c r="G8" s="26">
        <f>F8*1.02</f>
        <v>749.08799999999997</v>
      </c>
      <c r="H8" s="26">
        <f>G8*1.02</f>
        <v>764.06975999999997</v>
      </c>
      <c r="I8" s="26">
        <f>H8*1.02</f>
        <v>779.35115519999999</v>
      </c>
      <c r="J8" s="26">
        <f>I8*1.02</f>
        <v>794.93817830399996</v>
      </c>
    </row>
    <row r="9" spans="2:10" ht="15" customHeight="1" x14ac:dyDescent="0.35">
      <c r="B9" s="27" t="s">
        <v>100</v>
      </c>
      <c r="C9" s="28">
        <v>3125</v>
      </c>
      <c r="D9" s="28">
        <v>3886</v>
      </c>
      <c r="E9" s="28">
        <v>4346</v>
      </c>
      <c r="F9" s="29">
        <f>F7-F8</f>
        <v>4717.3357100000012</v>
      </c>
      <c r="G9" s="29">
        <f>G7-G8</f>
        <v>4986.1379669200005</v>
      </c>
      <c r="H9" s="29">
        <f>H7-H8</f>
        <v>5257.9175052660012</v>
      </c>
      <c r="I9" s="29">
        <f>I7-I8</f>
        <v>5531.6914987987693</v>
      </c>
      <c r="J9" s="29">
        <f>J7-J8</f>
        <v>5800.1013951247132</v>
      </c>
    </row>
    <row r="10" spans="2:10" ht="15" customHeight="1" x14ac:dyDescent="0.35">
      <c r="B10" s="14" t="s">
        <v>101</v>
      </c>
      <c r="C10" s="25">
        <v>590</v>
      </c>
      <c r="D10" s="25">
        <v>718</v>
      </c>
      <c r="E10" s="25">
        <v>826</v>
      </c>
      <c r="F10" s="26">
        <f>F9*Assumptions!$C$31</f>
        <v>896.29378490000022</v>
      </c>
      <c r="G10" s="26">
        <f>G9*Assumptions!$C$31</f>
        <v>947.3662137148001</v>
      </c>
      <c r="H10" s="26">
        <f>H9*Assumptions!$C$31</f>
        <v>999.00432600054023</v>
      </c>
      <c r="I10" s="26">
        <f>I9*Assumptions!$C$31</f>
        <v>1051.0213847717662</v>
      </c>
      <c r="J10" s="26">
        <f>J9*Assumptions!$C$31</f>
        <v>1102.0192650736956</v>
      </c>
    </row>
    <row r="11" spans="2:10" ht="15" customHeight="1" x14ac:dyDescent="0.35">
      <c r="B11" s="27" t="s">
        <v>102</v>
      </c>
      <c r="C11" s="28">
        <v>2535</v>
      </c>
      <c r="D11" s="28">
        <v>3168</v>
      </c>
      <c r="E11" s="28">
        <v>3520</v>
      </c>
      <c r="F11" s="29">
        <f>F9-F10</f>
        <v>3821.0419251000012</v>
      </c>
      <c r="G11" s="29">
        <f>G9-G10</f>
        <v>4038.7717532052002</v>
      </c>
      <c r="H11" s="29">
        <f>H9-H10</f>
        <v>4258.9131792654607</v>
      </c>
      <c r="I11" s="29">
        <f>I9-I10</f>
        <v>4480.6701140270034</v>
      </c>
      <c r="J11" s="29">
        <f>J9-J10</f>
        <v>4698.0821300510179</v>
      </c>
    </row>
    <row r="13" spans="2:10" ht="15" customHeight="1" x14ac:dyDescent="0.35">
      <c r="B13" s="30" t="s">
        <v>103</v>
      </c>
      <c r="C13" s="31">
        <f t="shared" ref="C13:J13" si="0">C5/C4</f>
        <v>0.29986543062200954</v>
      </c>
      <c r="D13" s="31">
        <f t="shared" si="0"/>
        <v>0.31430755510256081</v>
      </c>
      <c r="E13" s="31">
        <f t="shared" si="0"/>
        <v>0.32411898778563497</v>
      </c>
      <c r="F13" s="31">
        <f t="shared" si="0"/>
        <v>0.33</v>
      </c>
      <c r="G13" s="31">
        <f t="shared" si="0"/>
        <v>0.33</v>
      </c>
      <c r="H13" s="31">
        <f t="shared" si="0"/>
        <v>0.33</v>
      </c>
      <c r="I13" s="31">
        <f t="shared" si="0"/>
        <v>0.33</v>
      </c>
      <c r="J13" s="31">
        <f t="shared" si="0"/>
        <v>0.33</v>
      </c>
    </row>
    <row r="14" spans="2:10" ht="15" customHeight="1" x14ac:dyDescent="0.35">
      <c r="B14" s="30" t="s">
        <v>104</v>
      </c>
      <c r="C14" s="32"/>
      <c r="D14" s="31">
        <f t="shared" ref="D14:J14" si="1">(D4-C4)/C4</f>
        <v>0.1735944976076555</v>
      </c>
      <c r="E14" s="31">
        <f t="shared" si="1"/>
        <v>9.0011466428844444E-2</v>
      </c>
      <c r="F14" s="31">
        <f t="shared" si="1"/>
        <v>5.4999999999999973E-2</v>
      </c>
      <c r="G14" s="31">
        <f t="shared" si="1"/>
        <v>5.2000000000000102E-2</v>
      </c>
      <c r="H14" s="31">
        <f t="shared" si="1"/>
        <v>5.0000000000000093E-2</v>
      </c>
      <c r="I14" s="31">
        <f t="shared" si="1"/>
        <v>4.7999999999999966E-2</v>
      </c>
      <c r="J14" s="31">
        <f t="shared" si="1"/>
        <v>4.4999999999999846E-2</v>
      </c>
    </row>
  </sheetData>
  <mergeCells count="1"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B2:G1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40" customWidth="1"/>
    <col min="3" max="7" width="14" customWidth="1"/>
  </cols>
  <sheetData>
    <row r="2" spans="2:7" ht="15" customHeight="1" x14ac:dyDescent="0.35">
      <c r="B2" s="92" t="s">
        <v>105</v>
      </c>
      <c r="C2" s="92"/>
      <c r="D2" s="92"/>
      <c r="E2" s="92"/>
      <c r="F2" s="92"/>
      <c r="G2" s="92"/>
    </row>
    <row r="3" spans="2:7" ht="15" customHeight="1" x14ac:dyDescent="0.35">
      <c r="B3" s="13"/>
      <c r="C3" s="13" t="s">
        <v>90</v>
      </c>
      <c r="D3" s="13" t="s">
        <v>91</v>
      </c>
      <c r="E3" s="13" t="s">
        <v>92</v>
      </c>
      <c r="F3" s="13" t="s">
        <v>93</v>
      </c>
      <c r="G3" s="13" t="s">
        <v>94</v>
      </c>
    </row>
    <row r="4" spans="2:7" ht="15" customHeight="1" x14ac:dyDescent="0.35">
      <c r="B4" s="14" t="s">
        <v>98</v>
      </c>
      <c r="C4" s="33">
        <f>'Income Statement'!F7</f>
        <v>5451.7357100000008</v>
      </c>
      <c r="D4" s="33">
        <f>'Income Statement'!G7</f>
        <v>5735.2259669200002</v>
      </c>
      <c r="E4" s="33">
        <f>'Income Statement'!H7</f>
        <v>6021.9872652660015</v>
      </c>
      <c r="F4" s="33">
        <f>'Income Statement'!I7</f>
        <v>6311.0426539987693</v>
      </c>
      <c r="G4" s="33">
        <f>'Income Statement'!J7</f>
        <v>6595.0395734287131</v>
      </c>
    </row>
    <row r="5" spans="2:7" ht="15" customHeight="1" x14ac:dyDescent="0.35">
      <c r="B5" s="17" t="s">
        <v>106</v>
      </c>
      <c r="C5" s="34">
        <f>-'Income Statement'!F7*Assumptions!$C$31</f>
        <v>-1035.8297849000003</v>
      </c>
      <c r="D5" s="34">
        <f>-'Income Statement'!G7*Assumptions!$C$31</f>
        <v>-1089.6929337148001</v>
      </c>
      <c r="E5" s="34">
        <f>-'Income Statement'!H7*Assumptions!$C$31</f>
        <v>-1144.1775804005404</v>
      </c>
      <c r="F5" s="34">
        <f>-'Income Statement'!I7*Assumptions!$C$31</f>
        <v>-1199.0981042597662</v>
      </c>
      <c r="G5" s="34">
        <f>-'Income Statement'!J7*Assumptions!$C$31</f>
        <v>-1253.0575189514554</v>
      </c>
    </row>
    <row r="6" spans="2:7" ht="15" customHeight="1" x14ac:dyDescent="0.35">
      <c r="B6" s="30" t="s">
        <v>107</v>
      </c>
      <c r="C6" s="35">
        <f>C4+C5</f>
        <v>4415.9059251000008</v>
      </c>
      <c r="D6" s="35">
        <f>D4+D5</f>
        <v>4645.5330332051999</v>
      </c>
      <c r="E6" s="35">
        <f>E4+E5</f>
        <v>4877.8096848654613</v>
      </c>
      <c r="F6" s="35">
        <f>F4+F5</f>
        <v>5111.9445497390034</v>
      </c>
      <c r="G6" s="35">
        <f>G4+G5</f>
        <v>5341.9820544772574</v>
      </c>
    </row>
    <row r="7" spans="2:7" ht="15" customHeight="1" x14ac:dyDescent="0.35">
      <c r="B7" s="17" t="s">
        <v>108</v>
      </c>
      <c r="C7" s="36">
        <f>'Income Statement'!F6</f>
        <v>505.45893999999998</v>
      </c>
      <c r="D7" s="36">
        <f>'Income Statement'!G6</f>
        <v>531.74280487999999</v>
      </c>
      <c r="E7" s="36">
        <f>'Income Statement'!H6</f>
        <v>558.32994512400012</v>
      </c>
      <c r="F7" s="36">
        <f>'Income Statement'!I6</f>
        <v>585.12978248995205</v>
      </c>
      <c r="G7" s="36">
        <f>'Income Statement'!J6</f>
        <v>611.4606227019998</v>
      </c>
    </row>
    <row r="8" spans="2:7" ht="15" customHeight="1" x14ac:dyDescent="0.35">
      <c r="B8" s="14" t="s">
        <v>109</v>
      </c>
      <c r="C8" s="26">
        <f>-'Income Statement'!F4*Assumptions!$C$19</f>
        <v>-324.93788999999998</v>
      </c>
      <c r="D8" s="26">
        <f>-'Income Statement'!G4*Assumptions!$C$19</f>
        <v>-341.83466027999998</v>
      </c>
      <c r="E8" s="26">
        <f>-'Income Statement'!H4*Assumptions!$C$19</f>
        <v>-358.92639329400004</v>
      </c>
      <c r="F8" s="26">
        <f>-'Income Statement'!I4*Assumptions!$C$19</f>
        <v>-376.15486017211202</v>
      </c>
      <c r="G8" s="26">
        <f>-'Income Statement'!J4*Assumptions!$C$19</f>
        <v>-393.08182887985703</v>
      </c>
    </row>
    <row r="9" spans="2:7" ht="15" customHeight="1" x14ac:dyDescent="0.35">
      <c r="B9" s="17" t="s">
        <v>110</v>
      </c>
      <c r="C9" s="34">
        <f>'Income Statement'!F4*Assumptions!$C$20</f>
        <v>-90.260525000000001</v>
      </c>
      <c r="D9" s="34">
        <f>'Income Statement'!G4*Assumptions!$C$20</f>
        <v>-94.954072300000007</v>
      </c>
      <c r="E9" s="34">
        <f>'Income Statement'!H4*Assumptions!$C$20</f>
        <v>-99.701775915000013</v>
      </c>
      <c r="F9" s="34">
        <f>'Income Statement'!I4*Assumptions!$C$20</f>
        <v>-104.48746115892001</v>
      </c>
      <c r="G9" s="34">
        <f>'Income Statement'!J4*Assumptions!$C$20</f>
        <v>-109.1893969110714</v>
      </c>
    </row>
    <row r="10" spans="2:7" ht="15" customHeight="1" x14ac:dyDescent="0.35">
      <c r="B10" s="30" t="s">
        <v>111</v>
      </c>
      <c r="C10" s="35">
        <f>C6+C7+C8+C9</f>
        <v>4506.1664501000005</v>
      </c>
      <c r="D10" s="35">
        <f>D6+D7+D8+D9</f>
        <v>4740.4871055051999</v>
      </c>
      <c r="E10" s="35">
        <f>E6+E7+E8+E9</f>
        <v>4977.5114607804608</v>
      </c>
      <c r="F10" s="35">
        <f>F6+F7+F8+F9</f>
        <v>5216.4320108979227</v>
      </c>
      <c r="G10" s="35">
        <f>G6+G7+G8+G9</f>
        <v>5451.171451388328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H3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42" customWidth="1"/>
    <col min="3" max="9" width="14" customWidth="1"/>
  </cols>
  <sheetData>
    <row r="2" spans="2:8" ht="15" customHeight="1" x14ac:dyDescent="0.35">
      <c r="B2" s="92" t="s">
        <v>112</v>
      </c>
      <c r="C2" s="92"/>
      <c r="D2" s="92"/>
      <c r="E2" s="92"/>
      <c r="F2" s="92"/>
      <c r="G2" s="92"/>
      <c r="H2" s="92"/>
    </row>
    <row r="4" spans="2:8" ht="15" customHeight="1" x14ac:dyDescent="0.35">
      <c r="B4" s="93" t="s">
        <v>113</v>
      </c>
      <c r="C4" s="93"/>
      <c r="D4" s="93"/>
    </row>
    <row r="5" spans="2:8" ht="15" customHeight="1" x14ac:dyDescent="0.35">
      <c r="B5" s="37" t="s">
        <v>82</v>
      </c>
      <c r="C5" s="38">
        <f>Assumptions!C35</f>
        <v>7.8470600000000001E-2</v>
      </c>
    </row>
    <row r="6" spans="2:8" ht="15" customHeight="1" x14ac:dyDescent="0.35">
      <c r="B6" s="37" t="s">
        <v>84</v>
      </c>
      <c r="C6" s="38">
        <f>Assumptions!C36</f>
        <v>2.5000000000000001E-2</v>
      </c>
    </row>
    <row r="8" spans="2:8" ht="15" customHeight="1" x14ac:dyDescent="0.35">
      <c r="B8" s="93" t="s">
        <v>114</v>
      </c>
      <c r="C8" s="93"/>
      <c r="D8" s="93"/>
      <c r="E8" s="93"/>
      <c r="F8" s="93"/>
      <c r="G8" s="93"/>
      <c r="H8" s="93"/>
    </row>
    <row r="9" spans="2:8" ht="15" customHeight="1" x14ac:dyDescent="0.35">
      <c r="B9" s="13"/>
      <c r="C9" s="13" t="s">
        <v>90</v>
      </c>
      <c r="D9" s="13" t="s">
        <v>91</v>
      </c>
      <c r="E9" s="13" t="s">
        <v>92</v>
      </c>
      <c r="F9" s="13" t="s">
        <v>93</v>
      </c>
      <c r="G9" s="13" t="s">
        <v>94</v>
      </c>
      <c r="H9" s="39" t="s">
        <v>115</v>
      </c>
    </row>
    <row r="10" spans="2:8" ht="15" customHeight="1" x14ac:dyDescent="0.35">
      <c r="B10" s="37" t="s">
        <v>116</v>
      </c>
      <c r="C10" s="40">
        <v>1</v>
      </c>
      <c r="D10" s="40">
        <v>2</v>
      </c>
      <c r="E10" s="40">
        <v>3</v>
      </c>
      <c r="F10" s="40">
        <v>4</v>
      </c>
      <c r="G10" s="40">
        <v>5</v>
      </c>
    </row>
    <row r="11" spans="2:8" ht="15" customHeight="1" x14ac:dyDescent="0.35">
      <c r="B11" s="37" t="s">
        <v>117</v>
      </c>
      <c r="C11" s="41">
        <f>1/(1+$C$5)^C10</f>
        <v>0.92723899937559728</v>
      </c>
      <c r="D11" s="41">
        <f>1/(1+$C$5)^D10</f>
        <v>0.85977216196305895</v>
      </c>
      <c r="E11" s="41">
        <f>1/(1+$C$5)^E10</f>
        <v>0.79721427914962084</v>
      </c>
      <c r="F11" s="41">
        <f>1/(1+$C$5)^F10</f>
        <v>0.73920817048663257</v>
      </c>
      <c r="G11" s="41">
        <f>1/(1+$C$5)^G10</f>
        <v>0.68542264433229105</v>
      </c>
    </row>
    <row r="12" spans="2:8" ht="15" customHeight="1" x14ac:dyDescent="0.35">
      <c r="B12" s="37" t="s">
        <v>118</v>
      </c>
      <c r="C12" s="42">
        <f>'FCF Build'!C10</f>
        <v>4506.1664501000005</v>
      </c>
      <c r="D12" s="42">
        <f>'FCF Build'!D10</f>
        <v>4740.4871055051999</v>
      </c>
      <c r="E12" s="42">
        <f>'FCF Build'!E10</f>
        <v>4977.5114607804608</v>
      </c>
      <c r="F12" s="42">
        <f>'FCF Build'!F10</f>
        <v>5216.4320108979227</v>
      </c>
      <c r="G12" s="42">
        <f>'FCF Build'!G10</f>
        <v>5451.171451388328</v>
      </c>
    </row>
    <row r="13" spans="2:8" ht="15" customHeight="1" x14ac:dyDescent="0.35">
      <c r="B13" s="43" t="s">
        <v>119</v>
      </c>
      <c r="C13" s="44">
        <f>C11*C12</f>
        <v>4178.2932702106118</v>
      </c>
      <c r="D13" s="44">
        <f>D11*D12</f>
        <v>4075.7388474582094</v>
      </c>
      <c r="E13" s="44">
        <f>E11*E12</f>
        <v>3968.1432111650711</v>
      </c>
      <c r="F13" s="44">
        <f>F11*F12</f>
        <v>3856.0291632437593</v>
      </c>
      <c r="G13" s="44">
        <f>G11*G12</f>
        <v>3736.3563509192809</v>
      </c>
      <c r="H13" s="35">
        <f>SUM(C13:G13)</f>
        <v>19814.560842996929</v>
      </c>
    </row>
    <row r="15" spans="2:8" ht="15" customHeight="1" x14ac:dyDescent="0.35">
      <c r="B15" s="93" t="s">
        <v>120</v>
      </c>
      <c r="C15" s="93"/>
      <c r="D15" s="93"/>
      <c r="E15" s="93"/>
    </row>
    <row r="16" spans="2:8" ht="15" customHeight="1" x14ac:dyDescent="0.35">
      <c r="B16" s="37" t="s">
        <v>121</v>
      </c>
      <c r="C16" s="42">
        <f>'FCF Build'!G10</f>
        <v>5451.171451388328</v>
      </c>
    </row>
    <row r="17" spans="2:5" ht="15" customHeight="1" x14ac:dyDescent="0.35">
      <c r="B17" s="37" t="s">
        <v>122</v>
      </c>
      <c r="C17" s="44">
        <f>C16*(1+C6)/(C5-C6)</f>
        <v>104495.75538095768</v>
      </c>
    </row>
    <row r="18" spans="2:5" ht="15" customHeight="1" x14ac:dyDescent="0.35">
      <c r="B18" s="37" t="s">
        <v>123</v>
      </c>
      <c r="C18" s="44">
        <f>C17/(1+C5)^5</f>
        <v>71623.756974716249</v>
      </c>
    </row>
    <row r="20" spans="2:5" ht="15" customHeight="1" x14ac:dyDescent="0.35">
      <c r="B20" s="93" t="s">
        <v>124</v>
      </c>
      <c r="C20" s="93"/>
      <c r="D20" s="93"/>
      <c r="E20" s="93"/>
    </row>
    <row r="21" spans="2:5" ht="15" customHeight="1" x14ac:dyDescent="0.35">
      <c r="B21" s="37" t="s">
        <v>125</v>
      </c>
      <c r="C21" s="45">
        <f>H13</f>
        <v>19814.560842996929</v>
      </c>
    </row>
    <row r="22" spans="2:5" ht="15" customHeight="1" x14ac:dyDescent="0.35">
      <c r="B22" s="37" t="s">
        <v>126</v>
      </c>
      <c r="C22" s="45">
        <f>C18</f>
        <v>71623.756974716249</v>
      </c>
    </row>
    <row r="23" spans="2:5" ht="15" customHeight="1" x14ac:dyDescent="0.35">
      <c r="B23" s="43" t="s">
        <v>127</v>
      </c>
      <c r="C23" s="35">
        <f>C21+C22</f>
        <v>91438.317817713178</v>
      </c>
    </row>
    <row r="24" spans="2:5" ht="15" customHeight="1" x14ac:dyDescent="0.35">
      <c r="B24" s="37" t="s">
        <v>128</v>
      </c>
      <c r="C24" s="15">
        <v>8200</v>
      </c>
      <c r="D24" t="s">
        <v>129</v>
      </c>
    </row>
    <row r="25" spans="2:5" ht="15" customHeight="1" x14ac:dyDescent="0.35">
      <c r="B25" s="37" t="s">
        <v>130</v>
      </c>
      <c r="C25" s="46">
        <v>0</v>
      </c>
    </row>
    <row r="26" spans="2:5" ht="15" customHeight="1" x14ac:dyDescent="0.35">
      <c r="B26" s="43" t="s">
        <v>131</v>
      </c>
      <c r="C26" s="35">
        <f>C23-C24-C25</f>
        <v>83238.317817713178</v>
      </c>
    </row>
    <row r="27" spans="2:5" ht="15" customHeight="1" x14ac:dyDescent="0.35">
      <c r="B27" s="37" t="s">
        <v>132</v>
      </c>
      <c r="C27" s="15">
        <v>214</v>
      </c>
    </row>
    <row r="28" spans="2:5" ht="15" customHeight="1" x14ac:dyDescent="0.35">
      <c r="B28" s="43" t="s">
        <v>133</v>
      </c>
      <c r="C28" s="47">
        <f>C26/C27</f>
        <v>388.96410195193073</v>
      </c>
    </row>
    <row r="29" spans="2:5" ht="15" customHeight="1" x14ac:dyDescent="0.35">
      <c r="B29" s="37" t="s">
        <v>134</v>
      </c>
      <c r="C29" s="48">
        <v>322</v>
      </c>
    </row>
    <row r="30" spans="2:5" ht="15" customHeight="1" x14ac:dyDescent="0.35">
      <c r="B30" s="43" t="s">
        <v>135</v>
      </c>
      <c r="C30" s="49">
        <f>(C28-C29)/C29</f>
        <v>0.20796304954015754</v>
      </c>
    </row>
  </sheetData>
  <mergeCells count="5">
    <mergeCell ref="B2:H2"/>
    <mergeCell ref="B4:D4"/>
    <mergeCell ref="B8:H8"/>
    <mergeCell ref="B15:E15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B2:K9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8" sqref="C8"/>
    </sheetView>
  </sheetViews>
  <sheetFormatPr defaultColWidth="8.6328125" defaultRowHeight="14.5" x14ac:dyDescent="0.35"/>
  <cols>
    <col min="1" max="1" width="3" customWidth="1"/>
    <col min="2" max="2" width="20" customWidth="1"/>
  </cols>
  <sheetData>
    <row r="2" spans="2:11" ht="15" customHeight="1" x14ac:dyDescent="0.35">
      <c r="B2" s="92" t="s">
        <v>136</v>
      </c>
      <c r="C2" s="92"/>
      <c r="D2" s="92"/>
      <c r="E2" s="92"/>
      <c r="F2" s="92"/>
      <c r="G2" s="92"/>
      <c r="H2" s="92"/>
      <c r="I2" s="92"/>
      <c r="J2" s="92"/>
      <c r="K2" s="92"/>
    </row>
    <row r="3" spans="2:11" ht="15" customHeight="1" x14ac:dyDescent="0.35">
      <c r="B3" s="39" t="s">
        <v>137</v>
      </c>
      <c r="C3" s="50">
        <v>0.08</v>
      </c>
      <c r="D3" s="50">
        <v>8.5000000000000006E-2</v>
      </c>
      <c r="E3" s="50">
        <v>0.09</v>
      </c>
      <c r="F3" s="50">
        <v>9.5000000000000001E-2</v>
      </c>
      <c r="G3" s="50">
        <v>0.1</v>
      </c>
      <c r="H3" s="50">
        <v>0.105</v>
      </c>
      <c r="I3" s="50">
        <v>0.11</v>
      </c>
      <c r="J3" s="50">
        <v>0.115</v>
      </c>
      <c r="K3" s="50">
        <v>0.12</v>
      </c>
    </row>
    <row r="4" spans="2:11" ht="15" customHeight="1" x14ac:dyDescent="0.35">
      <c r="B4" s="51">
        <v>1.4999999999999999E-2</v>
      </c>
      <c r="C4" s="52">
        <f>(('FCF Build'!$C$10/(1+C$3)^1+'FCF Build'!$D$10/(1+C$3)^2+'FCF Build'!$E$10/(1+C$3)^3+'FCF Build'!$F$10/(1+C$3)^4+'FCF Build'!$G$10/(1+C$3)^5+('FCF Build'!$G$10*(1+$B4)/(C$3-$B4))/(1+C$3)^5)-'DCF Valuation'!$C$24-'DCF Valuation'!$C$25)/'DCF Valuation'!$C$27</f>
        <v>324.60184750018482</v>
      </c>
      <c r="D4" s="52">
        <f>(('FCF Build'!$C$10/(1+D$3)^1+'FCF Build'!$D$10/(1+D$3)^2+'FCF Build'!$E$10/(1+D$3)^3+'FCF Build'!$F$10/(1+D$3)^4+'FCF Build'!$G$10/(1+D$3)^5+('FCF Build'!$G$10*(1+$B4)/(D$3-$B4))/(1+D$3)^5)-'DCF Valuation'!$C$24-'DCF Valuation'!$C$25)/'DCF Valuation'!$C$27</f>
        <v>298.28385773515629</v>
      </c>
      <c r="E4" s="52">
        <f>(('FCF Build'!$C$10/(1+E$3)^1+'FCF Build'!$D$10/(1+E$3)^2+'FCF Build'!$E$10/(1+E$3)^3+'FCF Build'!$F$10/(1+E$3)^4+'FCF Build'!$G$10/(1+E$3)^5+('FCF Build'!$G$10*(1+$B4)/(E$3-$B4))/(1+E$3)^5)-'DCF Valuation'!$C$24-'DCF Valuation'!$C$25)/'DCF Valuation'!$C$27</f>
        <v>275.48148924862426</v>
      </c>
      <c r="F4" s="52">
        <f>(('FCF Build'!$C$10/(1+F$3)^1+'FCF Build'!$D$10/(1+F$3)^2+'FCF Build'!$E$10/(1+F$3)^3+'FCF Build'!$F$10/(1+F$3)^4+'FCF Build'!$G$10/(1+F$3)^5+('FCF Build'!$G$10*(1+$B4)/(F$3-$B4))/(1+F$3)^5)-'DCF Valuation'!$C$24-'DCF Valuation'!$C$25)/'DCF Valuation'!$C$27</f>
        <v>255.53541897297333</v>
      </c>
      <c r="G4" s="52">
        <f>(('FCF Build'!$C$10/(1+G$3)^1+'FCF Build'!$D$10/(1+G$3)^2+'FCF Build'!$E$10/(1+G$3)^3+'FCF Build'!$F$10/(1+G$3)^4+'FCF Build'!$G$10/(1+G$3)^5+('FCF Build'!$G$10*(1+$B4)/(G$3-$B4))/(1+G$3)^5)-'DCF Valuation'!$C$24-'DCF Valuation'!$C$25)/'DCF Valuation'!$C$27</f>
        <v>237.94146255638358</v>
      </c>
      <c r="H4" s="52">
        <f>(('FCF Build'!$C$10/(1+H$3)^1+'FCF Build'!$D$10/(1+H$3)^2+'FCF Build'!$E$10/(1+H$3)^3+'FCF Build'!$F$10/(1+H$3)^4+'FCF Build'!$G$10/(1+H$3)^5+('FCF Build'!$G$10*(1+$B4)/(H$3-$B4))/(1+H$3)^5)-'DCF Valuation'!$C$24-'DCF Valuation'!$C$25)/'DCF Valuation'!$C$27</f>
        <v>222.30748015266931</v>
      </c>
      <c r="I4" s="52">
        <f>(('FCF Build'!$C$10/(1+I$3)^1+'FCF Build'!$D$10/(1+I$3)^2+'FCF Build'!$E$10/(1+I$3)^3+'FCF Build'!$F$10/(1+I$3)^4+'FCF Build'!$G$10/(1+I$3)^5+('FCF Build'!$G$10*(1+$B4)/(I$3-$B4))/(1+I$3)^5)-'DCF Valuation'!$C$24-'DCF Valuation'!$C$25)/'DCF Valuation'!$C$27</f>
        <v>208.3238909134835</v>
      </c>
      <c r="J4" s="52">
        <f>(('FCF Build'!$C$10/(1+J$3)^1+'FCF Build'!$D$10/(1+J$3)^2+'FCF Build'!$E$10/(1+J$3)^3+'FCF Build'!$F$10/(1+J$3)^4+'FCF Build'!$G$10/(1+J$3)^5+('FCF Build'!$G$10*(1+$B4)/(J$3-$B4))/(1+J$3)^5)-'DCF Valuation'!$C$24-'DCF Valuation'!$C$25)/'DCF Valuation'!$C$27</f>
        <v>195.74303313688517</v>
      </c>
      <c r="K4" s="52">
        <f>(('FCF Build'!$C$10/(1+K$3)^1+'FCF Build'!$D$10/(1+K$3)^2+'FCF Build'!$E$10/(1+K$3)^3+'FCF Build'!$F$10/(1+K$3)^4+'FCF Build'!$G$10/(1+K$3)^5+('FCF Build'!$G$10*(1+$B4)/(K$3-$B4))/(1+K$3)^5)-'DCF Valuation'!$C$24-'DCF Valuation'!$C$25)/'DCF Valuation'!$C$27</f>
        <v>184.36442151998091</v>
      </c>
    </row>
    <row r="5" spans="2:11" ht="15" customHeight="1" x14ac:dyDescent="0.35">
      <c r="B5" s="51">
        <v>0.02</v>
      </c>
      <c r="C5" s="52">
        <f>(('FCF Build'!$C$10/(1+C$3)^1+'FCF Build'!$D$10/(1+C$3)^2+'FCF Build'!$E$10/(1+C$3)^3+'FCF Build'!$F$10/(1+C$3)^4+'FCF Build'!$G$10/(1+C$3)^5+('FCF Build'!$G$10*(1+$B5)/(C$3-$B5))/(1+C$3)^5)-'DCF Valuation'!$C$24-'DCF Valuation'!$C$25)/'DCF Valuation'!$C$27</f>
        <v>348.60600367968516</v>
      </c>
      <c r="D5" s="52">
        <f>(('FCF Build'!$C$10/(1+D$3)^1+'FCF Build'!$D$10/(1+D$3)^2+'FCF Build'!$E$10/(1+D$3)^3+'FCF Build'!$F$10/(1+D$3)^4+'FCF Build'!$G$10/(1+D$3)^5+('FCF Build'!$G$10*(1+$B5)/(D$3-$B5))/(1+D$3)^5)-'DCF Valuation'!$C$24-'DCF Valuation'!$C$25)/'DCF Valuation'!$C$27</f>
        <v>318.48219982439031</v>
      </c>
      <c r="E5" s="52">
        <f>(('FCF Build'!$C$10/(1+E$3)^1+'FCF Build'!$D$10/(1+E$3)^2+'FCF Build'!$E$10/(1+E$3)^3+'FCF Build'!$F$10/(1+E$3)^4+'FCF Build'!$G$10/(1+E$3)^5+('FCF Build'!$G$10*(1+$B5)/(E$3-$B5))/(1+E$3)^5)-'DCF Valuation'!$C$24-'DCF Valuation'!$C$25)/'DCF Valuation'!$C$27</f>
        <v>292.66772550141616</v>
      </c>
      <c r="F5" s="52">
        <f>(('FCF Build'!$C$10/(1+F$3)^1+'FCF Build'!$D$10/(1+F$3)^2+'FCF Build'!$E$10/(1+F$3)^3+'FCF Build'!$F$10/(1+F$3)^4+'FCF Build'!$G$10/(1+F$3)^5+('FCF Build'!$G$10*(1+$B5)/(F$3-$B5))/(1+F$3)^5)-'DCF Valuation'!$C$24-'DCF Valuation'!$C$25)/'DCF Valuation'!$C$27</f>
        <v>270.30058537078344</v>
      </c>
      <c r="G5" s="52">
        <f>(('FCF Build'!$C$10/(1+G$3)^1+'FCF Build'!$D$10/(1+G$3)^2+'FCF Build'!$E$10/(1+G$3)^3+'FCF Build'!$F$10/(1+G$3)^4+'FCF Build'!$G$10/(1+G$3)^5+('FCF Build'!$G$10*(1+$B5)/(G$3-$B5))/(1+G$3)^5)-'DCF Valuation'!$C$24-'DCF Valuation'!$C$25)/'DCF Valuation'!$C$27</f>
        <v>250.73428639090866</v>
      </c>
      <c r="H5" s="52">
        <f>(('FCF Build'!$C$10/(1+H$3)^1+'FCF Build'!$D$10/(1+H$3)^2+'FCF Build'!$E$10/(1+H$3)^3+'FCF Build'!$F$10/(1+H$3)^4+'FCF Build'!$G$10/(1+H$3)^5+('FCF Build'!$G$10*(1+$B5)/(H$3-$B5))/(1+H$3)^5)-'DCF Valuation'!$C$24-'DCF Valuation'!$C$25)/'DCF Valuation'!$C$27</f>
        <v>233.47445468077174</v>
      </c>
      <c r="I5" s="52">
        <f>(('FCF Build'!$C$10/(1+I$3)^1+'FCF Build'!$D$10/(1+I$3)^2+'FCF Build'!$E$10/(1+I$3)^3+'FCF Build'!$F$10/(1+I$3)^4+'FCF Build'!$G$10/(1+I$3)^5+('FCF Build'!$G$10*(1+$B5)/(I$3-$B5))/(1+I$3)^5)-'DCF Valuation'!$C$24-'DCF Valuation'!$C$25)/'DCF Valuation'!$C$27</f>
        <v>218.13658009860799</v>
      </c>
      <c r="J5" s="52">
        <f>(('FCF Build'!$C$10/(1+J$3)^1+'FCF Build'!$D$10/(1+J$3)^2+'FCF Build'!$E$10/(1+J$3)^3+'FCF Build'!$F$10/(1+J$3)^4+'FCF Build'!$G$10/(1+J$3)^5+('FCF Build'!$G$10*(1+$B5)/(J$3-$B5))/(1+J$3)^5)-'DCF Valuation'!$C$24-'DCF Valuation'!$C$25)/'DCF Valuation'!$C$27</f>
        <v>204.41710464141167</v>
      </c>
      <c r="K5" s="52">
        <f>(('FCF Build'!$C$10/(1+K$3)^1+'FCF Build'!$D$10/(1+K$3)^2+'FCF Build'!$E$10/(1+K$3)^3+'FCF Build'!$F$10/(1+K$3)^4+'FCF Build'!$G$10/(1+K$3)^5+('FCF Build'!$G$10*(1+$B5)/(K$3-$B5))/(1+K$3)^5)-'DCF Valuation'!$C$24-'DCF Valuation'!$C$25)/'DCF Valuation'!$C$27</f>
        <v>192.0731843278171</v>
      </c>
    </row>
    <row r="6" spans="2:11" ht="15" customHeight="1" x14ac:dyDescent="0.35">
      <c r="B6" s="51">
        <v>2.5000000000000001E-2</v>
      </c>
      <c r="C6" s="52">
        <f>(('FCF Build'!$C$10/(1+C$3)^1+'FCF Build'!$D$10/(1+C$3)^2+'FCF Build'!$E$10/(1+C$3)^3+'FCF Build'!$F$10/(1+C$3)^4+'FCF Build'!$G$10/(1+C$3)^5+('FCF Build'!$G$10*(1+$B6)/(C$3-$B6))/(1+C$3)^5)-'DCF Valuation'!$C$24-'DCF Valuation'!$C$25)/'DCF Valuation'!$C$27</f>
        <v>376.97455189182182</v>
      </c>
      <c r="D6" s="52">
        <f>(('FCF Build'!$C$10/(1+D$3)^1+'FCF Build'!$D$10/(1+D$3)^2+'FCF Build'!$E$10/(1+D$3)^3+'FCF Build'!$F$10/(1+D$3)^4+'FCF Build'!$G$10/(1+D$3)^5+('FCF Build'!$G$10*(1+$B6)/(D$3-$B6))/(1+D$3)^5)-'DCF Valuation'!$C$24-'DCF Valuation'!$C$25)/'DCF Valuation'!$C$27</f>
        <v>342.04693226182997</v>
      </c>
      <c r="E6" s="52">
        <f>(('FCF Build'!$C$10/(1+E$3)^1+'FCF Build'!$D$10/(1+E$3)^2+'FCF Build'!$E$10/(1+E$3)^3+'FCF Build'!$F$10/(1+E$3)^4+'FCF Build'!$G$10/(1+E$3)^5+('FCF Build'!$G$10*(1+$B6)/(E$3-$B6))/(1+E$3)^5)-'DCF Valuation'!$C$24-'DCF Valuation'!$C$25)/'DCF Valuation'!$C$27</f>
        <v>312.49799810079139</v>
      </c>
      <c r="F6" s="52">
        <f>(('FCF Build'!$C$10/(1+F$3)^1+'FCF Build'!$D$10/(1+F$3)^2+'FCF Build'!$E$10/(1+F$3)^3+'FCF Build'!$F$10/(1+F$3)^4+'FCF Build'!$G$10/(1+F$3)^5+('FCF Build'!$G$10*(1+$B6)/(F$3-$B6))/(1+F$3)^5)-'DCF Valuation'!$C$24-'DCF Valuation'!$C$25)/'DCF Valuation'!$C$27</f>
        <v>287.17506125399478</v>
      </c>
      <c r="G6" s="52">
        <f>(('FCF Build'!$C$10/(1+G$3)^1+'FCF Build'!$D$10/(1+G$3)^2+'FCF Build'!$E$10/(1+G$3)^3+'FCF Build'!$F$10/(1+G$3)^4+'FCF Build'!$G$10/(1+G$3)^5+('FCF Build'!$G$10*(1+$B6)/(G$3-$B6))/(1+G$3)^5)-'DCF Valuation'!$C$24-'DCF Valuation'!$C$25)/'DCF Valuation'!$C$27</f>
        <v>265.23282007003701</v>
      </c>
      <c r="H6" s="52">
        <f>(('FCF Build'!$C$10/(1+H$3)^1+'FCF Build'!$D$10/(1+H$3)^2+'FCF Build'!$E$10/(1+H$3)^3+'FCF Build'!$F$10/(1+H$3)^4+'FCF Build'!$G$10/(1+H$3)^5+('FCF Build'!$G$10*(1+$B6)/(H$3-$B6))/(1+H$3)^5)-'DCF Valuation'!$C$24-'DCF Valuation'!$C$25)/'DCF Valuation'!$C$27</f>
        <v>246.03730102488689</v>
      </c>
      <c r="I6" s="52">
        <f>(('FCF Build'!$C$10/(1+I$3)^1+'FCF Build'!$D$10/(1+I$3)^2+'FCF Build'!$E$10/(1+I$3)^3+'FCF Build'!$F$10/(1+I$3)^4+'FCF Build'!$G$10/(1+I$3)^5+('FCF Build'!$G$10*(1+$B6)/(I$3-$B6))/(1+I$3)^5)-'DCF Valuation'!$C$24-'DCF Valuation'!$C$25)/'DCF Valuation'!$C$27</f>
        <v>229.10370330551177</v>
      </c>
      <c r="J6" s="52">
        <f>(('FCF Build'!$C$10/(1+J$3)^1+'FCF Build'!$D$10/(1+J$3)^2+'FCF Build'!$E$10/(1+J$3)^3+'FCF Build'!$F$10/(1+J$3)^4+'FCF Build'!$G$10/(1+J$3)^5+('FCF Build'!$G$10*(1+$B6)/(J$3-$B6))/(1+J$3)^5)-'DCF Valuation'!$C$24-'DCF Valuation'!$C$25)/'DCF Valuation'!$C$27</f>
        <v>214.05496186866327</v>
      </c>
      <c r="K6" s="52">
        <f>(('FCF Build'!$C$10/(1+K$3)^1+'FCF Build'!$D$10/(1+K$3)^2+'FCF Build'!$E$10/(1+K$3)^3+'FCF Build'!$F$10/(1+K$3)^4+'FCF Build'!$G$10/(1+K$3)^5+('FCF Build'!$G$10*(1+$B6)/(K$3-$B6))/(1+K$3)^5)-'DCF Valuation'!$C$24-'DCF Valuation'!$C$25)/'DCF Valuation'!$C$27</f>
        <v>200.59339585226761</v>
      </c>
    </row>
    <row r="7" spans="2:11" ht="15" customHeight="1" x14ac:dyDescent="0.35">
      <c r="B7" s="51">
        <v>0.03</v>
      </c>
      <c r="C7" s="52">
        <f>(('FCF Build'!$C$10/(1+C$3)^1+'FCF Build'!$D$10/(1+C$3)^2+'FCF Build'!$E$10/(1+C$3)^3+'FCF Build'!$F$10/(1+C$3)^4+'FCF Build'!$G$10/(1+C$3)^5+('FCF Build'!$G$10*(1+$B7)/(C$3-$B7))/(1+C$3)^5)-'DCF Valuation'!$C$24-'DCF Valuation'!$C$25)/'DCF Valuation'!$C$27</f>
        <v>411.01680974638583</v>
      </c>
      <c r="D7" s="52">
        <f>(('FCF Build'!$C$10/(1+D$3)^1+'FCF Build'!$D$10/(1+D$3)^2+'FCF Build'!$E$10/(1+D$3)^3+'FCF Build'!$F$10/(1+D$3)^4+'FCF Build'!$G$10/(1+D$3)^5+('FCF Build'!$G$10*(1+$B7)/(D$3-$B7))/(1+D$3)^5)-'DCF Valuation'!$C$24-'DCF Valuation'!$C$25)/'DCF Valuation'!$C$27</f>
        <v>369.89616150607685</v>
      </c>
      <c r="E7" s="52">
        <f>(('FCF Build'!$C$10/(1+E$3)^1+'FCF Build'!$D$10/(1+E$3)^2+'FCF Build'!$E$10/(1+E$3)^3+'FCF Build'!$F$10/(1+E$3)^4+'FCF Build'!$G$10/(1+E$3)^5+('FCF Build'!$G$10*(1+$B7)/(E$3-$B7))/(1+E$3)^5)-'DCF Valuation'!$C$24-'DCF Valuation'!$C$25)/'DCF Valuation'!$C$27</f>
        <v>335.63331613339597</v>
      </c>
      <c r="F7" s="52">
        <f>(('FCF Build'!$C$10/(1+F$3)^1+'FCF Build'!$D$10/(1+F$3)^2+'FCF Build'!$E$10/(1+F$3)^3+'FCF Build'!$F$10/(1+F$3)^4+'FCF Build'!$G$10/(1+F$3)^5+('FCF Build'!$G$10*(1+$B7)/(F$3-$B7))/(1+F$3)^5)-'DCF Valuation'!$C$24-'DCF Valuation'!$C$25)/'DCF Valuation'!$C$27</f>
        <v>306.64561035000804</v>
      </c>
      <c r="G7" s="52">
        <f>(('FCF Build'!$C$10/(1+G$3)^1+'FCF Build'!$D$10/(1+G$3)^2+'FCF Build'!$E$10/(1+G$3)^3+'FCF Build'!$F$10/(1+G$3)^4+'FCF Build'!$G$10/(1+G$3)^5+('FCF Build'!$G$10*(1+$B7)/(G$3-$B7))/(1+G$3)^5)-'DCF Valuation'!$C$24-'DCF Valuation'!$C$25)/'DCF Valuation'!$C$27</f>
        <v>281.80257284618375</v>
      </c>
      <c r="H7" s="52">
        <f>(('FCF Build'!$C$10/(1+H$3)^1+'FCF Build'!$D$10/(1+H$3)^2+'FCF Build'!$E$10/(1+H$3)^3+'FCF Build'!$F$10/(1+H$3)^4+'FCF Build'!$G$10/(1+H$3)^5+('FCF Build'!$G$10*(1+$B7)/(H$3-$B7))/(1+H$3)^5)-'DCF Valuation'!$C$24-'DCF Valuation'!$C$25)/'DCF Valuation'!$C$27</f>
        <v>260.27519354821743</v>
      </c>
      <c r="I7" s="52">
        <f>(('FCF Build'!$C$10/(1+I$3)^1+'FCF Build'!$D$10/(1+I$3)^2+'FCF Build'!$E$10/(1+I$3)^3+'FCF Build'!$F$10/(1+I$3)^4+'FCF Build'!$G$10/(1+I$3)^5+('FCF Build'!$G$10*(1+$B7)/(I$3-$B7))/(1+I$3)^5)-'DCF Valuation'!$C$24-'DCF Valuation'!$C$25)/'DCF Valuation'!$C$27</f>
        <v>241.44171691327858</v>
      </c>
      <c r="J7" s="52">
        <f>(('FCF Build'!$C$10/(1+J$3)^1+'FCF Build'!$D$10/(1+J$3)^2+'FCF Build'!$E$10/(1+J$3)^3+'FCF Build'!$F$10/(1+J$3)^4+'FCF Build'!$G$10/(1+J$3)^5+('FCF Build'!$G$10*(1+$B7)/(J$3-$B7))/(1+J$3)^5)-'DCF Valuation'!$C$24-'DCF Valuation'!$C$25)/'DCF Valuation'!$C$27</f>
        <v>224.82668465206211</v>
      </c>
      <c r="K7" s="52">
        <f>(('FCF Build'!$C$10/(1+K$3)^1+'FCF Build'!$D$10/(1+K$3)^2+'FCF Build'!$E$10/(1+K$3)^3+'FCF Build'!$F$10/(1+K$3)^4+'FCF Build'!$G$10/(1+K$3)^5+('FCF Build'!$G$10*(1+$B7)/(K$3-$B7))/(1+K$3)^5)-'DCF Valuation'!$C$24-'DCF Valuation'!$C$25)/'DCF Valuation'!$C$27</f>
        <v>210.06029754610154</v>
      </c>
    </row>
    <row r="8" spans="2:11" ht="15" customHeight="1" x14ac:dyDescent="0.35">
      <c r="B8" s="51">
        <v>3.5000000000000003E-2</v>
      </c>
      <c r="C8" s="52">
        <f>(('FCF Build'!$C$10/(1+C$3)^1+'FCF Build'!$D$10/(1+C$3)^2+'FCF Build'!$E$10/(1+C$3)^3+'FCF Build'!$F$10/(1+C$3)^4+'FCF Build'!$G$10/(1+C$3)^5+('FCF Build'!$G$10*(1+$B8)/(C$3-$B8))/(1+C$3)^5)-'DCF Valuation'!$C$24-'DCF Valuation'!$C$25)/'DCF Valuation'!$C$27</f>
        <v>452.6240137908531</v>
      </c>
      <c r="D8" s="52">
        <f>(('FCF Build'!$C$10/(1+D$3)^1+'FCF Build'!$D$10/(1+D$3)^2+'FCF Build'!$E$10/(1+D$3)^3+'FCF Build'!$F$10/(1+D$3)^4+'FCF Build'!$G$10/(1+D$3)^5+('FCF Build'!$G$10*(1+$B8)/(D$3-$B8))/(1+D$3)^5)-'DCF Valuation'!$C$24-'DCF Valuation'!$C$25)/'DCF Valuation'!$C$27</f>
        <v>403.3152365991732</v>
      </c>
      <c r="E8" s="52">
        <f>(('FCF Build'!$C$10/(1+E$3)^1+'FCF Build'!$D$10/(1+E$3)^2+'FCF Build'!$E$10/(1+E$3)^3+'FCF Build'!$F$10/(1+E$3)^4+'FCF Build'!$G$10/(1+E$3)^5+('FCF Build'!$G$10*(1+$B8)/(E$3-$B8))/(1+E$3)^5)-'DCF Valuation'!$C$24-'DCF Valuation'!$C$25)/'DCF Valuation'!$C$27</f>
        <v>362.9750556264741</v>
      </c>
      <c r="F8" s="52">
        <f>(('FCF Build'!$C$10/(1+F$3)^1+'FCF Build'!$D$10/(1+F$3)^2+'FCF Build'!$E$10/(1+F$3)^3+'FCF Build'!$F$10/(1+F$3)^4+'FCF Build'!$G$10/(1+F$3)^5+('FCF Build'!$G$10*(1+$B8)/(F$3-$B8))/(1+F$3)^5)-'DCF Valuation'!$C$24-'DCF Valuation'!$C$25)/'DCF Valuation'!$C$27</f>
        <v>329.36125096202346</v>
      </c>
      <c r="G8" s="52">
        <f>(('FCF Build'!$C$10/(1+G$3)^1+'FCF Build'!$D$10/(1+G$3)^2+'FCF Build'!$E$10/(1+G$3)^3+'FCF Build'!$F$10/(1+G$3)^4+'FCF Build'!$G$10/(1+G$3)^5+('FCF Build'!$G$10*(1+$B8)/(G$3-$B8))/(1+G$3)^5)-'DCF Valuation'!$C$24-'DCF Valuation'!$C$25)/'DCF Valuation'!$C$27</f>
        <v>300.9215183571223</v>
      </c>
      <c r="H8" s="52">
        <f>(('FCF Build'!$C$10/(1+H$3)^1+'FCF Build'!$D$10/(1+H$3)^2+'FCF Build'!$E$10/(1+H$3)^3+'FCF Build'!$F$10/(1+H$3)^4+'FCF Build'!$G$10/(1+H$3)^5+('FCF Build'!$G$10*(1+$B8)/(H$3-$B8))/(1+H$3)^5)-'DCF Valuation'!$C$24-'DCF Valuation'!$C$25)/'DCF Valuation'!$C$27</f>
        <v>276.54707071773805</v>
      </c>
      <c r="I8" s="52">
        <f>(('FCF Build'!$C$10/(1+I$3)^1+'FCF Build'!$D$10/(1+I$3)^2+'FCF Build'!$E$10/(1+I$3)^3+'FCF Build'!$F$10/(1+I$3)^4+'FCF Build'!$G$10/(1+I$3)^5+('FCF Build'!$G$10*(1+$B8)/(I$3-$B8))/(1+I$3)^5)-'DCF Valuation'!$C$24-'DCF Valuation'!$C$25)/'DCF Valuation'!$C$27</f>
        <v>255.42479900208093</v>
      </c>
      <c r="J8" s="52">
        <f>(('FCF Build'!$C$10/(1+J$3)^1+'FCF Build'!$D$10/(1+J$3)^2+'FCF Build'!$E$10/(1+J$3)^3+'FCF Build'!$F$10/(1+J$3)^4+'FCF Build'!$G$10/(1+J$3)^5+('FCF Build'!$G$10*(1+$B8)/(J$3-$B8))/(1+J$3)^5)-'DCF Valuation'!$C$24-'DCF Valuation'!$C$25)/'DCF Valuation'!$C$27</f>
        <v>236.94487278338582</v>
      </c>
      <c r="K8" s="52">
        <f>(('FCF Build'!$C$10/(1+K$3)^1+'FCF Build'!$D$10/(1+K$3)^2+'FCF Build'!$E$10/(1+K$3)^3+'FCF Build'!$F$10/(1+K$3)^4+'FCF Build'!$G$10/(1+K$3)^5+('FCF Build'!$G$10*(1+$B8)/(K$3-$B8))/(1+K$3)^5)-'DCF Valuation'!$C$24-'DCF Valuation'!$C$25)/'DCF Valuation'!$C$27</f>
        <v>220.64095238038652</v>
      </c>
    </row>
    <row r="9" spans="2:11" ht="15" customHeight="1" x14ac:dyDescent="0.35">
      <c r="B9" s="94" t="s">
        <v>138</v>
      </c>
      <c r="C9" s="94"/>
      <c r="D9" s="94"/>
      <c r="E9" s="94"/>
      <c r="F9" s="94"/>
      <c r="G9" s="94"/>
      <c r="H9" s="94"/>
    </row>
  </sheetData>
  <mergeCells count="2">
    <mergeCell ref="B2:K2"/>
    <mergeCell ref="B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B2:K29"/>
  <sheetViews>
    <sheetView showGridLines="0" topLeftCell="A11" zoomScaleNormal="100" workbookViewId="0">
      <selection activeCell="D28" sqref="D28"/>
    </sheetView>
  </sheetViews>
  <sheetFormatPr defaultColWidth="8.6328125" defaultRowHeight="14.5" x14ac:dyDescent="0.35"/>
  <cols>
    <col min="1" max="1" width="3" customWidth="1"/>
    <col min="2" max="2" width="28" customWidth="1"/>
    <col min="3" max="10" width="12" customWidth="1"/>
    <col min="11" max="11" width="14" customWidth="1"/>
    <col min="12" max="12" width="38" customWidth="1"/>
  </cols>
  <sheetData>
    <row r="2" spans="2:11" ht="15" customHeight="1" x14ac:dyDescent="0.35">
      <c r="B2" s="92" t="s">
        <v>139</v>
      </c>
      <c r="C2" s="92"/>
      <c r="D2" s="92"/>
      <c r="E2" s="92"/>
      <c r="F2" s="92"/>
      <c r="G2" s="92"/>
      <c r="H2" s="92"/>
      <c r="I2" s="92"/>
      <c r="J2" s="92"/>
      <c r="K2" s="92"/>
    </row>
    <row r="3" spans="2:11" ht="15" customHeight="1" x14ac:dyDescent="0.35">
      <c r="B3" s="1"/>
      <c r="C3" s="93" t="s">
        <v>140</v>
      </c>
      <c r="D3" s="93"/>
      <c r="E3" s="93"/>
      <c r="F3" s="93" t="s">
        <v>141</v>
      </c>
      <c r="G3" s="93"/>
      <c r="H3" s="93"/>
      <c r="I3" s="93" t="s">
        <v>142</v>
      </c>
      <c r="J3" s="93"/>
      <c r="K3" s="93"/>
    </row>
    <row r="4" spans="2:11" ht="15" customHeight="1" x14ac:dyDescent="0.35">
      <c r="B4" s="13" t="s">
        <v>2</v>
      </c>
      <c r="C4" s="13" t="s">
        <v>143</v>
      </c>
      <c r="D4" s="13" t="s">
        <v>144</v>
      </c>
      <c r="E4" s="13" t="s">
        <v>145</v>
      </c>
      <c r="F4" s="13" t="s">
        <v>146</v>
      </c>
      <c r="G4" s="13" t="s">
        <v>147</v>
      </c>
      <c r="H4" s="13" t="s">
        <v>148</v>
      </c>
      <c r="I4" s="13" t="s">
        <v>146</v>
      </c>
      <c r="J4" s="13" t="s">
        <v>147</v>
      </c>
      <c r="K4" s="13" t="s">
        <v>148</v>
      </c>
    </row>
    <row r="5" spans="2:11" ht="15" customHeight="1" x14ac:dyDescent="0.35">
      <c r="B5" s="14" t="s">
        <v>149</v>
      </c>
      <c r="C5" s="53">
        <v>88000</v>
      </c>
      <c r="D5" s="53">
        <v>5800</v>
      </c>
      <c r="E5" s="53">
        <f t="shared" ref="E5:E10" si="0">C5+D5</f>
        <v>93800</v>
      </c>
      <c r="F5" s="54">
        <v>18.5</v>
      </c>
      <c r="G5" s="54">
        <v>17.2</v>
      </c>
      <c r="H5" s="54">
        <v>16</v>
      </c>
      <c r="I5" s="54">
        <v>27.5</v>
      </c>
      <c r="J5" s="54">
        <v>25.2</v>
      </c>
      <c r="K5" s="54">
        <v>23.1</v>
      </c>
    </row>
    <row r="6" spans="2:11" ht="15" customHeight="1" x14ac:dyDescent="0.35">
      <c r="B6" s="17" t="s">
        <v>150</v>
      </c>
      <c r="C6" s="55">
        <v>30500</v>
      </c>
      <c r="D6" s="55">
        <v>4500</v>
      </c>
      <c r="E6" s="55">
        <f t="shared" si="0"/>
        <v>35000</v>
      </c>
      <c r="F6" s="56">
        <v>13</v>
      </c>
      <c r="G6" s="56">
        <v>12.2</v>
      </c>
      <c r="H6" s="56">
        <v>11.5</v>
      </c>
      <c r="I6" s="56">
        <v>19.8</v>
      </c>
      <c r="J6" s="56">
        <v>18.2</v>
      </c>
      <c r="K6" s="56">
        <v>16.8</v>
      </c>
    </row>
    <row r="7" spans="2:11" ht="15" customHeight="1" x14ac:dyDescent="0.35">
      <c r="B7" s="14" t="s">
        <v>151</v>
      </c>
      <c r="C7" s="53">
        <v>58000</v>
      </c>
      <c r="D7" s="53">
        <v>8800</v>
      </c>
      <c r="E7" s="53">
        <f t="shared" si="0"/>
        <v>66800</v>
      </c>
      <c r="F7" s="54">
        <v>17</v>
      </c>
      <c r="G7" s="54">
        <v>15.8</v>
      </c>
      <c r="H7" s="54">
        <v>14.7</v>
      </c>
      <c r="I7" s="54">
        <v>32.5</v>
      </c>
      <c r="J7" s="54">
        <v>29.8</v>
      </c>
      <c r="K7" s="54">
        <v>27.2</v>
      </c>
    </row>
    <row r="8" spans="2:11" ht="15" customHeight="1" x14ac:dyDescent="0.35">
      <c r="B8" s="17" t="s">
        <v>152</v>
      </c>
      <c r="C8" s="55">
        <v>12500</v>
      </c>
      <c r="D8" s="55">
        <v>2300</v>
      </c>
      <c r="E8" s="55">
        <f t="shared" si="0"/>
        <v>14800</v>
      </c>
      <c r="F8" s="56">
        <v>14.8</v>
      </c>
      <c r="G8" s="56">
        <v>13.6</v>
      </c>
      <c r="H8" s="56">
        <v>12.6</v>
      </c>
      <c r="I8" s="56">
        <v>22.5</v>
      </c>
      <c r="J8" s="56">
        <v>20.5</v>
      </c>
      <c r="K8" s="56">
        <v>18.8</v>
      </c>
    </row>
    <row r="9" spans="2:11" ht="15" customHeight="1" x14ac:dyDescent="0.35">
      <c r="B9" s="14" t="s">
        <v>153</v>
      </c>
      <c r="C9" s="53">
        <v>10000</v>
      </c>
      <c r="D9" s="53">
        <v>900</v>
      </c>
      <c r="E9" s="53">
        <f t="shared" si="0"/>
        <v>10900</v>
      </c>
      <c r="F9" s="54">
        <v>12.5</v>
      </c>
      <c r="G9" s="54">
        <v>11.6</v>
      </c>
      <c r="H9" s="54">
        <v>10.8</v>
      </c>
      <c r="I9" s="54">
        <v>19</v>
      </c>
      <c r="J9" s="54">
        <v>17.5</v>
      </c>
      <c r="K9" s="54">
        <v>16.2</v>
      </c>
    </row>
    <row r="10" spans="2:11" ht="15" customHeight="1" x14ac:dyDescent="0.35">
      <c r="B10" s="30" t="s">
        <v>154</v>
      </c>
      <c r="C10" s="57">
        <v>68900</v>
      </c>
      <c r="D10" s="57">
        <v>8200</v>
      </c>
      <c r="E10" s="57">
        <f t="shared" si="0"/>
        <v>77100</v>
      </c>
      <c r="F10" s="58">
        <v>16.2</v>
      </c>
      <c r="G10" s="58">
        <v>15.1</v>
      </c>
      <c r="H10" s="58">
        <v>14.1</v>
      </c>
      <c r="I10" s="58">
        <v>24.8</v>
      </c>
      <c r="J10" s="58">
        <v>22.6</v>
      </c>
      <c r="K10" s="58">
        <v>20.8</v>
      </c>
    </row>
    <row r="12" spans="2:11" ht="15" customHeight="1" x14ac:dyDescent="0.35">
      <c r="B12" s="93" t="s">
        <v>155</v>
      </c>
      <c r="C12" s="93"/>
      <c r="D12" s="93"/>
      <c r="E12" s="93"/>
      <c r="F12" s="93"/>
      <c r="G12" s="93"/>
      <c r="H12" s="93"/>
      <c r="I12" s="93"/>
      <c r="J12" s="93"/>
      <c r="K12" s="93"/>
    </row>
    <row r="13" spans="2:11" ht="15" customHeight="1" x14ac:dyDescent="0.35">
      <c r="B13" s="13" t="s">
        <v>156</v>
      </c>
      <c r="C13" s="13" t="s">
        <v>157</v>
      </c>
      <c r="D13" s="13" t="s">
        <v>157</v>
      </c>
      <c r="E13" s="13" t="s">
        <v>157</v>
      </c>
      <c r="F13" s="13" t="s">
        <v>158</v>
      </c>
      <c r="G13" s="13" t="s">
        <v>159</v>
      </c>
      <c r="H13" s="13" t="s">
        <v>160</v>
      </c>
      <c r="I13" s="13" t="s">
        <v>161</v>
      </c>
      <c r="J13" s="13" t="s">
        <v>162</v>
      </c>
      <c r="K13" s="13" t="s">
        <v>163</v>
      </c>
    </row>
    <row r="14" spans="2:11" ht="15" customHeight="1" x14ac:dyDescent="0.35">
      <c r="B14" s="59" t="s">
        <v>164</v>
      </c>
      <c r="C14" s="60"/>
      <c r="D14" s="60"/>
      <c r="E14" s="60"/>
      <c r="F14" s="61">
        <f t="shared" ref="F14:K14" si="1">AVERAGE(F5:F9)</f>
        <v>15.16</v>
      </c>
      <c r="G14" s="61">
        <f t="shared" si="1"/>
        <v>14.080000000000002</v>
      </c>
      <c r="H14" s="61">
        <f t="shared" si="1"/>
        <v>13.120000000000001</v>
      </c>
      <c r="I14" s="61">
        <f t="shared" si="1"/>
        <v>24.259999999999998</v>
      </c>
      <c r="J14" s="61">
        <f t="shared" si="1"/>
        <v>22.240000000000002</v>
      </c>
      <c r="K14" s="61">
        <f t="shared" si="1"/>
        <v>20.420000000000002</v>
      </c>
    </row>
    <row r="15" spans="2:11" ht="15" customHeight="1" x14ac:dyDescent="0.35">
      <c r="B15" s="27" t="s">
        <v>165</v>
      </c>
      <c r="C15" s="62"/>
      <c r="D15" s="62"/>
      <c r="E15" s="62"/>
      <c r="F15" s="63">
        <f t="shared" ref="F15:K15" si="2">MEDIAN(F5:F9)</f>
        <v>14.8</v>
      </c>
      <c r="G15" s="63">
        <f t="shared" si="2"/>
        <v>13.6</v>
      </c>
      <c r="H15" s="63">
        <f t="shared" si="2"/>
        <v>12.6</v>
      </c>
      <c r="I15" s="63">
        <f t="shared" si="2"/>
        <v>22.5</v>
      </c>
      <c r="J15" s="63">
        <f t="shared" si="2"/>
        <v>20.5</v>
      </c>
      <c r="K15" s="63">
        <f t="shared" si="2"/>
        <v>18.8</v>
      </c>
    </row>
    <row r="16" spans="2:11" ht="15" customHeight="1" x14ac:dyDescent="0.35">
      <c r="B16" s="59" t="s">
        <v>166</v>
      </c>
      <c r="C16" s="60"/>
      <c r="D16" s="60"/>
      <c r="E16" s="60"/>
      <c r="F16" s="61">
        <f t="shared" ref="F16:K16" si="3">MIN(F5:F9)</f>
        <v>12.5</v>
      </c>
      <c r="G16" s="61">
        <f t="shared" si="3"/>
        <v>11.6</v>
      </c>
      <c r="H16" s="61">
        <f t="shared" si="3"/>
        <v>10.8</v>
      </c>
      <c r="I16" s="61">
        <f t="shared" si="3"/>
        <v>19</v>
      </c>
      <c r="J16" s="61">
        <f t="shared" si="3"/>
        <v>17.5</v>
      </c>
      <c r="K16" s="61">
        <f t="shared" si="3"/>
        <v>16.2</v>
      </c>
    </row>
    <row r="17" spans="2:11" ht="15" customHeight="1" x14ac:dyDescent="0.35">
      <c r="B17" s="27" t="s">
        <v>167</v>
      </c>
      <c r="C17" s="62"/>
      <c r="D17" s="62"/>
      <c r="E17" s="62"/>
      <c r="F17" s="63">
        <f t="shared" ref="F17:K17" si="4">MAX(F5:F9)</f>
        <v>18.5</v>
      </c>
      <c r="G17" s="63">
        <f t="shared" si="4"/>
        <v>17.2</v>
      </c>
      <c r="H17" s="63">
        <f t="shared" si="4"/>
        <v>16</v>
      </c>
      <c r="I17" s="63">
        <f t="shared" si="4"/>
        <v>32.5</v>
      </c>
      <c r="J17" s="63">
        <f t="shared" si="4"/>
        <v>29.8</v>
      </c>
      <c r="K17" s="63">
        <f t="shared" si="4"/>
        <v>27.2</v>
      </c>
    </row>
    <row r="18" spans="2:11" ht="15" customHeight="1" x14ac:dyDescent="0.35">
      <c r="B18" s="59" t="s">
        <v>168</v>
      </c>
      <c r="C18" s="60"/>
      <c r="D18" s="60"/>
      <c r="E18" s="60"/>
      <c r="F18" s="61">
        <f t="shared" ref="F18:K18" si="5">PERCENTILE(F5:F9,0.25)</f>
        <v>13</v>
      </c>
      <c r="G18" s="61">
        <f t="shared" si="5"/>
        <v>12.2</v>
      </c>
      <c r="H18" s="61">
        <f t="shared" si="5"/>
        <v>11.5</v>
      </c>
      <c r="I18" s="61">
        <f t="shared" si="5"/>
        <v>19.8</v>
      </c>
      <c r="J18" s="61">
        <f t="shared" si="5"/>
        <v>18.2</v>
      </c>
      <c r="K18" s="61">
        <f t="shared" si="5"/>
        <v>16.8</v>
      </c>
    </row>
    <row r="19" spans="2:11" ht="15" customHeight="1" x14ac:dyDescent="0.35">
      <c r="B19" s="27" t="s">
        <v>169</v>
      </c>
      <c r="C19" s="62"/>
      <c r="D19" s="62"/>
      <c r="E19" s="62"/>
      <c r="F19" s="63">
        <f t="shared" ref="F19:K19" si="6">PERCENTILE(F5:F9,0.75)</f>
        <v>17</v>
      </c>
      <c r="G19" s="63">
        <f t="shared" si="6"/>
        <v>15.8</v>
      </c>
      <c r="H19" s="63">
        <f t="shared" si="6"/>
        <v>14.7</v>
      </c>
      <c r="I19" s="63">
        <f t="shared" si="6"/>
        <v>27.5</v>
      </c>
      <c r="J19" s="63">
        <f t="shared" si="6"/>
        <v>25.2</v>
      </c>
      <c r="K19" s="63">
        <f t="shared" si="6"/>
        <v>23.1</v>
      </c>
    </row>
    <row r="22" spans="2:11" ht="15" customHeight="1" x14ac:dyDescent="0.35">
      <c r="B22" s="92" t="s">
        <v>170</v>
      </c>
      <c r="C22" s="92"/>
      <c r="D22" s="92"/>
      <c r="E22" s="92"/>
      <c r="F22" s="92"/>
      <c r="G22" s="92"/>
      <c r="H22" s="92"/>
      <c r="I22" s="92"/>
      <c r="J22" s="92"/>
      <c r="K22" s="92"/>
    </row>
    <row r="23" spans="2:11" ht="15" customHeight="1" x14ac:dyDescent="0.35">
      <c r="B23" s="13" t="s">
        <v>171</v>
      </c>
      <c r="C23" s="13" t="s">
        <v>172</v>
      </c>
      <c r="D23" s="13" t="s">
        <v>173</v>
      </c>
      <c r="E23" s="13" t="s">
        <v>174</v>
      </c>
      <c r="F23" s="13" t="s">
        <v>175</v>
      </c>
      <c r="G23" s="13" t="s">
        <v>176</v>
      </c>
      <c r="H23" s="13" t="s">
        <v>177</v>
      </c>
      <c r="I23" s="13" t="s">
        <v>178</v>
      </c>
      <c r="J23" s="13"/>
      <c r="K23" s="13"/>
    </row>
    <row r="24" spans="2:11" ht="15" customHeight="1" x14ac:dyDescent="0.35">
      <c r="B24" s="14" t="s">
        <v>179</v>
      </c>
      <c r="C24" s="64">
        <f>F14</f>
        <v>15.16</v>
      </c>
      <c r="D24" s="65">
        <f>'Income Statement'!E5</f>
        <v>5546</v>
      </c>
      <c r="E24" s="53">
        <f>C24*D24</f>
        <v>84077.36</v>
      </c>
      <c r="F24" s="66">
        <f>'DCF Valuation'!C24</f>
        <v>8200</v>
      </c>
      <c r="G24" s="67">
        <f>E24-F24</f>
        <v>75877.36</v>
      </c>
      <c r="H24" s="66">
        <f>'DCF Valuation'!C27</f>
        <v>214</v>
      </c>
      <c r="I24" s="68">
        <f>G24/H24</f>
        <v>354.56710280373829</v>
      </c>
      <c r="J24" s="60"/>
      <c r="K24" s="60"/>
    </row>
    <row r="25" spans="2:11" ht="15" customHeight="1" x14ac:dyDescent="0.35">
      <c r="B25" s="17" t="s">
        <v>180</v>
      </c>
      <c r="C25" s="69">
        <f>F15</f>
        <v>14.8</v>
      </c>
      <c r="D25" s="36">
        <f>'Income Statement'!E5</f>
        <v>5546</v>
      </c>
      <c r="E25" s="55">
        <f>C25*D25</f>
        <v>82080.800000000003</v>
      </c>
      <c r="F25" s="70">
        <f>'DCF Valuation'!C24</f>
        <v>8200</v>
      </c>
      <c r="G25" s="71">
        <f>E25-F25</f>
        <v>73880.800000000003</v>
      </c>
      <c r="H25" s="70">
        <f>'DCF Valuation'!C27</f>
        <v>214</v>
      </c>
      <c r="I25" s="68">
        <f>G25/H25</f>
        <v>345.23738317757011</v>
      </c>
      <c r="J25" s="62"/>
      <c r="K25" s="62"/>
    </row>
    <row r="26" spans="2:11" ht="15" customHeight="1" x14ac:dyDescent="0.35">
      <c r="B26" s="14" t="s">
        <v>181</v>
      </c>
      <c r="C26" s="64">
        <f>I14</f>
        <v>24.259999999999998</v>
      </c>
      <c r="D26" s="65">
        <f>'Income Statement'!E11</f>
        <v>3520</v>
      </c>
      <c r="E26" s="72" t="s">
        <v>182</v>
      </c>
      <c r="F26" s="72" t="s">
        <v>157</v>
      </c>
      <c r="G26" s="67">
        <f>C26*D26</f>
        <v>85395.199999999997</v>
      </c>
      <c r="H26" s="66">
        <f>'DCF Valuation'!C27</f>
        <v>214</v>
      </c>
      <c r="I26" s="68">
        <f>G26/H26</f>
        <v>399.0429906542056</v>
      </c>
      <c r="J26" s="60"/>
      <c r="K26" s="60"/>
    </row>
    <row r="27" spans="2:11" ht="15" customHeight="1" x14ac:dyDescent="0.35">
      <c r="B27" s="17" t="s">
        <v>183</v>
      </c>
      <c r="C27" s="69">
        <f>I15</f>
        <v>22.5</v>
      </c>
      <c r="D27" s="36">
        <f>'Income Statement'!E11</f>
        <v>3520</v>
      </c>
      <c r="E27" s="73" t="s">
        <v>182</v>
      </c>
      <c r="F27" s="73" t="s">
        <v>157</v>
      </c>
      <c r="G27" s="71">
        <f>C27*D27</f>
        <v>79200</v>
      </c>
      <c r="H27" s="70">
        <f>'DCF Valuation'!C27</f>
        <v>214</v>
      </c>
      <c r="I27" s="68">
        <f>G27/H27</f>
        <v>370.09345794392522</v>
      </c>
      <c r="J27" s="62"/>
      <c r="K27" s="62"/>
    </row>
    <row r="29" spans="2:11" ht="15" customHeight="1" x14ac:dyDescent="0.35">
      <c r="B29" s="95" t="s">
        <v>184</v>
      </c>
      <c r="C29" s="95"/>
      <c r="D29" s="95"/>
      <c r="E29" s="95"/>
      <c r="F29" s="95"/>
      <c r="G29" s="95"/>
      <c r="H29" s="95"/>
      <c r="I29" s="95"/>
      <c r="J29" s="95"/>
      <c r="K29" s="95"/>
    </row>
  </sheetData>
  <mergeCells count="7">
    <mergeCell ref="B22:K22"/>
    <mergeCell ref="B29:K29"/>
    <mergeCell ref="B2:K2"/>
    <mergeCell ref="C3:E3"/>
    <mergeCell ref="F3:H3"/>
    <mergeCell ref="I3:K3"/>
    <mergeCell ref="B12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B2:L10"/>
  <sheetViews>
    <sheetView showGridLines="0" tabSelected="1" zoomScaleNormal="100" workbookViewId="0">
      <selection activeCell="K16" sqref="K16"/>
    </sheetView>
  </sheetViews>
  <sheetFormatPr defaultColWidth="8.6328125" defaultRowHeight="14.5" x14ac:dyDescent="0.35"/>
  <cols>
    <col min="1" max="1" width="3" customWidth="1"/>
    <col min="2" max="2" width="32" customWidth="1"/>
    <col min="3" max="6" width="14" customWidth="1"/>
    <col min="7" max="7" width="3" customWidth="1"/>
    <col min="9" max="9" width="28" customWidth="1"/>
    <col min="10" max="12" width="12" customWidth="1"/>
  </cols>
  <sheetData>
    <row r="2" spans="2:12" ht="15" customHeight="1" x14ac:dyDescent="0.35">
      <c r="B2" s="92" t="s">
        <v>185</v>
      </c>
      <c r="C2" s="92"/>
      <c r="D2" s="92"/>
      <c r="E2" s="92"/>
      <c r="F2" s="92"/>
      <c r="I2" t="s">
        <v>186</v>
      </c>
      <c r="J2" t="s">
        <v>187</v>
      </c>
      <c r="K2" t="s">
        <v>188</v>
      </c>
      <c r="L2" t="s">
        <v>189</v>
      </c>
    </row>
    <row r="3" spans="2:12" ht="15" customHeight="1" x14ac:dyDescent="0.35">
      <c r="B3" s="13" t="s">
        <v>190</v>
      </c>
      <c r="C3" s="13" t="s">
        <v>187</v>
      </c>
      <c r="D3" s="13" t="s">
        <v>191</v>
      </c>
      <c r="E3" s="13" t="s">
        <v>192</v>
      </c>
      <c r="F3" s="13" t="s">
        <v>193</v>
      </c>
      <c r="I3" t="str">
        <f t="shared" ref="I3:J7" si="0">B4</f>
        <v>DCF – Base Case</v>
      </c>
      <c r="J3" s="74">
        <f t="shared" si="0"/>
        <v>388.96410195193073</v>
      </c>
      <c r="K3" s="74">
        <f>E4-C4</f>
        <v>0</v>
      </c>
      <c r="L3" s="74">
        <f>D4</f>
        <v>388.96410195193073</v>
      </c>
    </row>
    <row r="4" spans="2:12" ht="15" customHeight="1" x14ac:dyDescent="0.35">
      <c r="B4" s="30" t="s">
        <v>194</v>
      </c>
      <c r="C4" s="75">
        <f>'DCF Valuation'!C28</f>
        <v>388.96410195193073</v>
      </c>
      <c r="D4" s="76">
        <f>'DCF Valuation'!C28</f>
        <v>388.96410195193073</v>
      </c>
      <c r="E4" s="75">
        <f>'DCF Valuation'!C28</f>
        <v>388.96410195193073</v>
      </c>
      <c r="F4" s="77">
        <f>'DCF Valuation'!C29</f>
        <v>322</v>
      </c>
      <c r="I4" t="str">
        <f t="shared" si="0"/>
        <v>DCF – Sensitivity Range</v>
      </c>
      <c r="J4" s="74">
        <f t="shared" si="0"/>
        <v>184.36442151998091</v>
      </c>
      <c r="K4" s="74">
        <f>E5-C5</f>
        <v>268.25959227087219</v>
      </c>
      <c r="L4" s="74">
        <f>D5</f>
        <v>388.96410195193073</v>
      </c>
    </row>
    <row r="5" spans="2:12" ht="15" customHeight="1" x14ac:dyDescent="0.35">
      <c r="B5" s="59" t="s">
        <v>195</v>
      </c>
      <c r="C5" s="78">
        <f>Sensitivity!K4</f>
        <v>184.36442151998091</v>
      </c>
      <c r="D5" s="79">
        <f>'DCF Valuation'!C28</f>
        <v>388.96410195193073</v>
      </c>
      <c r="E5" s="78">
        <f>Sensitivity!C8</f>
        <v>452.6240137908531</v>
      </c>
      <c r="F5" s="80">
        <f>'DCF Valuation'!C29</f>
        <v>322</v>
      </c>
      <c r="I5" t="str">
        <f t="shared" si="0"/>
        <v>EV/EBITDA Comps</v>
      </c>
      <c r="J5" s="74">
        <f t="shared" si="0"/>
        <v>345.23738317757011</v>
      </c>
      <c r="K5" s="74">
        <f>E6-C6</f>
        <v>9.3297196261681847</v>
      </c>
      <c r="L5" s="74">
        <f>D6</f>
        <v>349.9022429906542</v>
      </c>
    </row>
    <row r="6" spans="2:12" ht="15" customHeight="1" x14ac:dyDescent="0.35">
      <c r="B6" s="81" t="s">
        <v>196</v>
      </c>
      <c r="C6" s="82">
        <f>MIN('Trading Comps'!I24,'Trading Comps'!I25)</f>
        <v>345.23738317757011</v>
      </c>
      <c r="D6" s="83">
        <f>AVERAGE('Trading Comps'!I24,'Trading Comps'!I25)</f>
        <v>349.9022429906542</v>
      </c>
      <c r="E6" s="82">
        <f>MAX('Trading Comps'!I24,'Trading Comps'!I25)</f>
        <v>354.56710280373829</v>
      </c>
      <c r="F6" s="84">
        <f>'DCF Valuation'!C29</f>
        <v>322</v>
      </c>
      <c r="I6" t="str">
        <f t="shared" si="0"/>
        <v>P/E Comps</v>
      </c>
      <c r="J6" s="74">
        <f t="shared" si="0"/>
        <v>370.09345794392522</v>
      </c>
      <c r="K6" s="74">
        <f>E7-C7</f>
        <v>28.94953271028038</v>
      </c>
      <c r="L6" s="74">
        <f>D7</f>
        <v>384.56822429906538</v>
      </c>
    </row>
    <row r="7" spans="2:12" ht="15" customHeight="1" x14ac:dyDescent="0.35">
      <c r="B7" s="81" t="s">
        <v>197</v>
      </c>
      <c r="C7" s="82">
        <f>MIN('Trading Comps'!I26,'Trading Comps'!I27)</f>
        <v>370.09345794392522</v>
      </c>
      <c r="D7" s="83">
        <f>AVERAGE('Trading Comps'!I26,'Trading Comps'!I27)</f>
        <v>384.56822429906538</v>
      </c>
      <c r="E7" s="82">
        <f>MAX('Trading Comps'!I26,'Trading Comps'!I27)</f>
        <v>399.0429906542056</v>
      </c>
      <c r="F7" s="84">
        <f>'DCF Valuation'!C29</f>
        <v>322</v>
      </c>
      <c r="I7" t="str">
        <f t="shared" si="0"/>
        <v>52-Week Trading Range</v>
      </c>
      <c r="J7" s="74">
        <f t="shared" si="0"/>
        <v>305</v>
      </c>
      <c r="K7" s="74">
        <f>E8-C8</f>
        <v>76</v>
      </c>
      <c r="L7" s="74">
        <f>D8</f>
        <v>343</v>
      </c>
    </row>
    <row r="8" spans="2:12" ht="15" customHeight="1" x14ac:dyDescent="0.35">
      <c r="B8" s="85" t="s">
        <v>198</v>
      </c>
      <c r="C8" s="86">
        <v>305</v>
      </c>
      <c r="D8" s="87">
        <v>343</v>
      </c>
      <c r="E8" s="86">
        <v>381</v>
      </c>
      <c r="F8" s="88">
        <f>'DCF Valuation'!C29</f>
        <v>322</v>
      </c>
    </row>
    <row r="10" spans="2:12" ht="39.75" customHeight="1" x14ac:dyDescent="0.35">
      <c r="I10" s="96"/>
      <c r="J10" s="96"/>
      <c r="K10" s="96"/>
      <c r="L10" s="96"/>
    </row>
  </sheetData>
  <mergeCells count="2">
    <mergeCell ref="B2:F2"/>
    <mergeCell ref="I10:L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Income Statement</vt:lpstr>
      <vt:lpstr>FCF Build</vt:lpstr>
      <vt:lpstr>DCF Valuation</vt:lpstr>
      <vt:lpstr>Sensitivity</vt:lpstr>
      <vt:lpstr>Trading Comps</vt:lpstr>
      <vt:lpstr>Football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Arun Drubhra</cp:lastModifiedBy>
  <cp:revision>2</cp:revision>
  <dcterms:created xsi:type="dcterms:W3CDTF">2026-06-09T18:06:32Z</dcterms:created>
  <dcterms:modified xsi:type="dcterms:W3CDTF">2026-10-26T19:58:40Z</dcterms:modified>
  <dc:language>en-US</dc:language>
</cp:coreProperties>
</file>