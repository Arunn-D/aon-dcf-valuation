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Income Statement" sheetId="3" state="visible" r:id="rId5"/>
    <sheet name="FCF Build" sheetId="4" state="visible" r:id="rId6"/>
    <sheet name="DCF Valuation" sheetId="5" state="visible" r:id="rId7"/>
    <sheet name="Sensitivity" sheetId="6" state="visible" r:id="rId8"/>
    <sheet name="Trading Comps" sheetId="7" state="visible" r:id="rId9"/>
    <sheet name="Football Field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<sst xmlns="http://schemas.openxmlformats.org/spreadsheetml/2006/main" count="229" uniqueCount="201">
  <si>
    <t xml:space="preserve">AON PLC – DISCOUNTED CASH FLOW VALUATION</t>
  </si>
  <si>
    <t xml:space="preserve">Corporate Finance | Placement Analyst Project</t>
  </si>
  <si>
    <t xml:space="preserve">Company</t>
  </si>
  <si>
    <t xml:space="preserve">Aon plc (NYSE: AON)</t>
  </si>
  <si>
    <t xml:space="preserve">Sector</t>
  </si>
  <si>
    <t xml:space="preserve">Professional Services / Insurance Advisory</t>
  </si>
  <si>
    <t xml:space="preserve">Model Date</t>
  </si>
  <si>
    <t xml:space="preserve">June 2026</t>
  </si>
  <si>
    <t xml:space="preserve">Currency</t>
  </si>
  <si>
    <t xml:space="preserve">USD (millions)</t>
  </si>
  <si>
    <t xml:space="preserve">Prepared by</t>
  </si>
  <si>
    <t xml:space="preserve">Arun Drubhra</t>
  </si>
  <si>
    <t xml:space="preserve">Source</t>
  </si>
  <si>
    <t xml:space="preserve">Aon 2025 Annual Report / 10-K</t>
  </si>
  <si>
    <t xml:space="preserve">SHEET INDEX</t>
  </si>
  <si>
    <t xml:space="preserve">Assumptions</t>
  </si>
  <si>
    <t xml:space="preserve">Key model inputs and scenario drivers</t>
  </si>
  <si>
    <t xml:space="preserve">Income Statement</t>
  </si>
  <si>
    <t xml:space="preserve">Historical and projected P&amp;L</t>
  </si>
  <si>
    <t xml:space="preserve">FCF Build</t>
  </si>
  <si>
    <t xml:space="preserve">Free cash flow bridge</t>
  </si>
  <si>
    <t xml:space="preserve">DCF Valuation</t>
  </si>
  <si>
    <t xml:space="preserve">WACC, terminal value, implied price</t>
  </si>
  <si>
    <t xml:space="preserve">Sensitivity</t>
  </si>
  <si>
    <t xml:space="preserve">Price sensitivity to WACC and growth</t>
  </si>
  <si>
    <t xml:space="preserve">Trading Comps</t>
  </si>
  <si>
    <t xml:space="preserve">Peer EV/EBITDA and P/E multiples, implied prices</t>
  </si>
  <si>
    <t xml:space="preserve">Football Field</t>
  </si>
  <si>
    <t xml:space="preserve">Visual summary of valuation range across all methods</t>
  </si>
  <si>
    <t xml:space="preserve">Blue text</t>
  </si>
  <si>
    <t xml:space="preserve">Hardcoded inputs (change for scenarios)</t>
  </si>
  <si>
    <t xml:space="preserve">Black text</t>
  </si>
  <si>
    <t xml:space="preserve">Formulas / calculations</t>
  </si>
  <si>
    <t xml:space="preserve">Green text</t>
  </si>
  <si>
    <t xml:space="preserve">Links from other sheets</t>
  </si>
  <si>
    <t xml:space="preserve">Yellow fill</t>
  </si>
  <si>
    <t xml:space="preserve">Key assumptions requiring review</t>
  </si>
  <si>
    <t xml:space="preserve">MODEL ASSUMPTIONS  –  Aon plc</t>
  </si>
  <si>
    <t xml:space="preserve">Revenue Assumptions</t>
  </si>
  <si>
    <t xml:space="preserve">Assumption</t>
  </si>
  <si>
    <t xml:space="preserve">Base Case</t>
  </si>
  <si>
    <t xml:space="preserve">Note</t>
  </si>
  <si>
    <t xml:space="preserve">FY2025A Revenue (actual, $mm)</t>
  </si>
  <si>
    <t xml:space="preserve">Aon 2025 10-K (9% growth on $15,698mm)</t>
  </si>
  <si>
    <t xml:space="preserve">FY2026E Revenue Growth</t>
  </si>
  <si>
    <t xml:space="preserve">Consensus estimate ~6%</t>
  </si>
  <si>
    <t xml:space="preserve">FY2027E Revenue Growth</t>
  </si>
  <si>
    <t xml:space="preserve">Modest deceleration</t>
  </si>
  <si>
    <t xml:space="preserve">FY2028E Revenue Growth</t>
  </si>
  <si>
    <t xml:space="preserve">FY2029E Revenue Growth</t>
  </si>
  <si>
    <t xml:space="preserve">FY2030E Revenue Growth</t>
  </si>
  <si>
    <t xml:space="preserve">Margin &amp; Cost Assumptions</t>
  </si>
  <si>
    <t xml:space="preserve">EBITDA Margin (FY2025A)</t>
  </si>
  <si>
    <t xml:space="preserve">Aon 2025 Annual Report (adj. op. margin 32.4%)</t>
  </si>
  <si>
    <t xml:space="preserve">EBITDA Margin (FY2026-30E)</t>
  </si>
  <si>
    <t xml:space="preserve">Slight expansion; management guiding margin growth</t>
  </si>
  <si>
    <t xml:space="preserve">D&amp;A as % of Revenue</t>
  </si>
  <si>
    <t xml:space="preserve">~$440mm on $15.7bn rev</t>
  </si>
  <si>
    <t xml:space="preserve">Capex as % of Revenue</t>
  </si>
  <si>
    <t xml:space="preserve">Asset-light model</t>
  </si>
  <si>
    <t xml:space="preserve">Change in Working Capital (% Rev)</t>
  </si>
  <si>
    <t xml:space="preserve">Small WC outflow</t>
  </si>
  <si>
    <t xml:space="preserve">Effective Tax Rate</t>
  </si>
  <si>
    <t xml:space="preserve">Aon guided ~18-19%</t>
  </si>
  <si>
    <t xml:space="preserve">WACC Assumptions</t>
  </si>
  <si>
    <t xml:space="preserve">Value</t>
  </si>
  <si>
    <t xml:space="preserve">Risk-Free Rate (10yr UST)</t>
  </si>
  <si>
    <t xml:space="preserve">~4.3% as at June 2025</t>
  </si>
  <si>
    <t xml:space="preserve">Equity Risk Premium</t>
  </si>
  <si>
    <t xml:space="preserve">Damodaran US ERP</t>
  </si>
  <si>
    <t xml:space="preserve">Beta (5yr monthly, vs S&amp;P 500)</t>
  </si>
  <si>
    <t xml:space="preserve">Bloomberg estimate</t>
  </si>
  <si>
    <t xml:space="preserve">Cost of Equity</t>
  </si>
  <si>
    <t xml:space="preserve">RFR + Beta x ERP</t>
  </si>
  <si>
    <t xml:space="preserve">Pre-Tax Cost of Debt</t>
  </si>
  <si>
    <t xml:space="preserve">Aon senior notes avg yield</t>
  </si>
  <si>
    <t xml:space="preserve">Tax Rate (for WACC)</t>
  </si>
  <si>
    <t xml:space="preserve">Matches income statement</t>
  </si>
  <si>
    <t xml:space="preserve">After-Tax Cost of Debt</t>
  </si>
  <si>
    <t xml:space="preserve">Kd x (1-t)</t>
  </si>
  <si>
    <t xml:space="preserve">Debt / (Debt + Equity)</t>
  </si>
  <si>
    <t xml:space="preserve">Aon capital structure</t>
  </si>
  <si>
    <t xml:space="preserve">Equity / (Debt + Equity)</t>
  </si>
  <si>
    <t xml:space="preserve">WACC</t>
  </si>
  <si>
    <t xml:space="preserve">Ke x We + Kd(1-t) x Wd</t>
  </si>
  <si>
    <t xml:space="preserve">Terminal Growth Rate</t>
  </si>
  <si>
    <t xml:space="preserve">~nominal GDP growth</t>
  </si>
  <si>
    <t xml:space="preserve">INCOME STATEMENT  –  Aon plc  (USD $mm)</t>
  </si>
  <si>
    <t xml:space="preserve">FY2023A</t>
  </si>
  <si>
    <t xml:space="preserve">FY2024A</t>
  </si>
  <si>
    <t xml:space="preserve">FY2025A</t>
  </si>
  <si>
    <t xml:space="preserve">FY2026E</t>
  </si>
  <si>
    <t xml:space="preserve">FY2027E</t>
  </si>
  <si>
    <t xml:space="preserve">FY2028E</t>
  </si>
  <si>
    <t xml:space="preserve">FY2029E</t>
  </si>
  <si>
    <t xml:space="preserve">FY2030E</t>
  </si>
  <si>
    <t xml:space="preserve">Revenue</t>
  </si>
  <si>
    <t xml:space="preserve">EBITDA</t>
  </si>
  <si>
    <t xml:space="preserve">D&amp;A</t>
  </si>
  <si>
    <t xml:space="preserve">EBIT</t>
  </si>
  <si>
    <t xml:space="preserve">Interest Expense</t>
  </si>
  <si>
    <t xml:space="preserve">EBT</t>
  </si>
  <si>
    <t xml:space="preserve">Tax</t>
  </si>
  <si>
    <t xml:space="preserve">Net Income</t>
  </si>
  <si>
    <t xml:space="preserve">EBITDA Margin %</t>
  </si>
  <si>
    <t xml:space="preserve">Revenue Growth %</t>
  </si>
  <si>
    <t xml:space="preserve">FREE CASH FLOW BUILD  –  Aon plc  (USD $mm)</t>
  </si>
  <si>
    <t xml:space="preserve">Less: Taxes on EBIT</t>
  </si>
  <si>
    <t xml:space="preserve">NOPAT (Net Operating Profit after Tax)</t>
  </si>
  <si>
    <t xml:space="preserve">Add: D&amp;A</t>
  </si>
  <si>
    <t xml:space="preserve">Less: Capex</t>
  </si>
  <si>
    <t xml:space="preserve">Less: Change in Working Capital</t>
  </si>
  <si>
    <t xml:space="preserve">Unlevered Free Cash Flow</t>
  </si>
  <si>
    <t xml:space="preserve">DCF VALUATION  –  Aon plc  (USD $mm)</t>
  </si>
  <si>
    <t xml:space="preserve">Key Value Drivers</t>
  </si>
  <si>
    <t xml:space="preserve">Discount Factors &amp; PV of FCFs</t>
  </si>
  <si>
    <t xml:space="preserve">Total</t>
  </si>
  <si>
    <t xml:space="preserve">Period (n)</t>
  </si>
  <si>
    <t xml:space="preserve">Discount Factor  1/(1+WACC)^n</t>
  </si>
  <si>
    <t xml:space="preserve">Unlevered FCF ($mm)</t>
  </si>
  <si>
    <t xml:space="preserve">PV of FCF ($mm)</t>
  </si>
  <si>
    <t xml:space="preserve">Terminal Value (Gordon Growth Model)</t>
  </si>
  <si>
    <t xml:space="preserve">Terminal Year FCF (FY2029E, $mm)</t>
  </si>
  <si>
    <t xml:space="preserve">Terminal Value  =  FCF x (1+g) / (WACC – g)</t>
  </si>
  <si>
    <t xml:space="preserve">PV of Terminal Value</t>
  </si>
  <si>
    <t xml:space="preserve">Enterprise &amp; Equity Value Bridge</t>
  </si>
  <si>
    <t xml:space="preserve">PV of FCFs ($mm)</t>
  </si>
  <si>
    <t xml:space="preserve">PV of Terminal Value ($mm)</t>
  </si>
  <si>
    <t xml:space="preserve">Enterprise Value ($mm)</t>
  </si>
  <si>
    <t xml:space="preserve">Less: Net Debt ($mm)</t>
  </si>
  <si>
    <t xml:space="preserve">Source: Aon 2025 10-K (total debt $15.2bn less cash)</t>
  </si>
  <si>
    <t xml:space="preserve">Less: Minority Interests ($mm)</t>
  </si>
  <si>
    <t xml:space="preserve">Equity Value ($mm)</t>
  </si>
  <si>
    <t xml:space="preserve">Shares Outstanding (mm)</t>
  </si>
  <si>
    <t xml:space="preserve">Implied Share Price (USD)</t>
  </si>
  <si>
    <t xml:space="preserve">Current Share Price (USD, approx.)</t>
  </si>
  <si>
    <t xml:space="preserve">Implied Upside / (Downside)</t>
  </si>
  <si>
    <t xml:space="preserve">SENSITIVITY ANALYSIS  –  Implied Share Price (USD)  |  WACC vs Terminal Growth Rate</t>
  </si>
  <si>
    <t xml:space="preserve">TGR \ WACC →</t>
  </si>
  <si>
    <t xml:space="preserve">Yellow = Base Case (WACC 9.0%, TGR 2.5%)  |  Current price: ~$322  |  June 2026</t>
  </si>
  <si>
    <t xml:space="preserve">TRADING COMPARABLES  –  Aon plc  |  Professional Services / Insurance Advisory Peers</t>
  </si>
  <si>
    <t xml:space="preserve">Market Data  (USD $mm)</t>
  </si>
  <si>
    <t xml:space="preserve">EV / EBITDA</t>
  </si>
  <si>
    <t xml:space="preserve">P / E</t>
  </si>
  <si>
    <t xml:space="preserve">Mkt Cap</t>
  </si>
  <si>
    <t xml:space="preserve">Net Debt</t>
  </si>
  <si>
    <t xml:space="preserve">EV</t>
  </si>
  <si>
    <t xml:space="preserve">CY2025A</t>
  </si>
  <si>
    <t xml:space="preserve">CY2026E</t>
  </si>
  <si>
    <t xml:space="preserve">CY2027E</t>
  </si>
  <si>
    <t xml:space="preserve">Marsh &amp; McLennan (MMC)</t>
  </si>
  <si>
    <t xml:space="preserve">Willis Towers Watson (WTW)</t>
  </si>
  <si>
    <t xml:space="preserve">Arthur J. Gallagher (AJG)</t>
  </si>
  <si>
    <t xml:space="preserve">Howden Group (Private)</t>
  </si>
  <si>
    <t xml:space="preserve">Lockton (Private)</t>
  </si>
  <si>
    <t xml:space="preserve">Aon plc (AON)  ◀ Subject</t>
  </si>
  <si>
    <t xml:space="preserve">Peer Summary Statistics</t>
  </si>
  <si>
    <t xml:space="preserve">Statistic</t>
  </si>
  <si>
    <t xml:space="preserve">—</t>
  </si>
  <si>
    <t xml:space="preserve">EV/EBITDA 24A</t>
  </si>
  <si>
    <t xml:space="preserve">EV/EBITDA 25E</t>
  </si>
  <si>
    <t xml:space="preserve">EV/EBITDA 26E</t>
  </si>
  <si>
    <t xml:space="preserve">P/E 24A</t>
  </si>
  <si>
    <t xml:space="preserve">P/E 25E</t>
  </si>
  <si>
    <t xml:space="preserve">P/E 26E</t>
  </si>
  <si>
    <t xml:space="preserve">Mean</t>
  </si>
  <si>
    <t xml:space="preserve">Median</t>
  </si>
  <si>
    <t xml:space="preserve">Min</t>
  </si>
  <si>
    <t xml:space="preserve">Max</t>
  </si>
  <si>
    <t xml:space="preserve">25th Pct</t>
  </si>
  <si>
    <t xml:space="preserve">75th Pct</t>
  </si>
  <si>
    <t xml:space="preserve">Implied Share Price from Comps  (using Aon FY2025E EBITDA &amp; Net Income)</t>
  </si>
  <si>
    <t xml:space="preserve">Method</t>
  </si>
  <si>
    <t xml:space="preserve">Multiple Used</t>
  </si>
  <si>
    <t xml:space="preserve">Aon Metric ($mm)</t>
  </si>
  <si>
    <t xml:space="preserve">Implied EV / Equity ($mm)</t>
  </si>
  <si>
    <t xml:space="preserve">Less: Net Debt</t>
  </si>
  <si>
    <t xml:space="preserve">Implied Equity ($mm)</t>
  </si>
  <si>
    <t xml:space="preserve">Shares (mm)</t>
  </si>
  <si>
    <t xml:space="preserve">Implied Price (USD)</t>
  </si>
  <si>
    <t xml:space="preserve">EV/EBITDA – Mean</t>
  </si>
  <si>
    <t xml:space="preserve">EV/EBITDA – Median</t>
  </si>
  <si>
    <t xml:space="preserve">P/E – Mean</t>
  </si>
  <si>
    <t xml:space="preserve">N/A – equity method</t>
  </si>
  <si>
    <t xml:space="preserve">P/E – Median</t>
  </si>
  <si>
    <t xml:space="preserve">Source: Bloomberg / FactSet consensus estimates (June 2026). Private company multiples (Howden, Lockton) from industry reports. All figures approximate; for illustrative purposes.</t>
  </si>
  <si>
    <t xml:space="preserve">FOOTBALL FIELD  –  Aon plc Implied Share Price (USD)  |  Valuation Summary</t>
  </si>
  <si>
    <t xml:space="preserve">Label</t>
  </si>
  <si>
    <t xml:space="preserve">Low</t>
  </si>
  <si>
    <t xml:space="preserve">Bar Width</t>
  </si>
  <si>
    <t xml:space="preserve">Mid</t>
  </si>
  <si>
    <t xml:space="preserve">Methodology</t>
  </si>
  <si>
    <t xml:space="preserve">Mid / Base</t>
  </si>
  <si>
    <t xml:space="preserve">High</t>
  </si>
  <si>
    <t xml:space="preserve">Current Price</t>
  </si>
  <si>
    <t xml:space="preserve">DCF – Base Case</t>
  </si>
  <si>
    <t xml:space="preserve">DCF – Sensitivity Range</t>
  </si>
  <si>
    <t xml:space="preserve">EV/EBITDA Comps</t>
  </si>
  <si>
    <t xml:space="preserve">P/E Comps</t>
  </si>
  <si>
    <t xml:space="preserve">52-Week Trading Range</t>
  </si>
  <si>
    <t xml:space="preserve">Note: Football field shows valuation range across methods. DCF Sensitivity uses WACC 8–12% and TGR 1.5–3.5% from Sensitivity sheet. Comps implied prices use FY2025E metrics. Current price ~$322 (June 2026).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</si>
</sst>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;\(#,##0\);\-"/>
    <numFmt numFmtId="166" formatCode="0.0%"/>
    <numFmt numFmtId="167" formatCode="0.00"/>
    <numFmt numFmtId="168" formatCode="0"/>
    <numFmt numFmtId="169" formatCode="0.0000"/>
    <numFmt numFmtId="170" formatCode="#,##0;\(#,##0\);\-"/>
    <numFmt numFmtId="171" formatCode="\$#,##0.00"/>
    <numFmt numFmtId="172" formatCode="\$#,##0.00"/>
    <numFmt numFmtId="173" formatCode="0.0\x"/>
    <numFmt numFmtId="174" formatCode="0.0\x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sz val="11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0000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0AA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AA00"/>
      <name val="Arial"/>
      <family val="0"/>
      <charset val="1"/>
    </font>
    <font>
      <sz val="10"/>
      <color rgb="FF00AA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i val="true"/>
      <sz val="8"/>
      <color rgb="FF666666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D6E4F0"/>
        <bgColor rgb="FFD9D9D9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5" fontId="14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6" fontId="14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5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4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4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14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7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7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7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5" fontId="16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6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6" fontId="6" fillId="7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7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6" fillId="7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8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6" fontId="1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5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6" fillId="7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1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19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2" fontId="14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3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1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1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11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0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7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4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6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6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7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18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8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1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6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8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1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7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6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18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6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18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8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1" fontId="7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6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18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9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1" fontId="14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16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18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AA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2CC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ED7D31"/>
      <rgbColor rgb="FF666666"/>
      <rgbColor rgb="FFAAAAAA"/>
      <rgbColor rgb="FF1F3864"/>
      <rgbColor rgb="FF70AD4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Aon plc  –  Football Field Valuation (USD)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'Football Field'!J2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ffffff"/>
            </a:solidFill>
            <a:ln w="9360">
              <a:solidFill>
                <a:srgbClr val="ffffff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'Football Field'!$I$3:$I$7</c:f>
              <c:strCache>
                <c:ptCount val="5"/>
                <c:pt idx="0">
                  <c:v>DCF – Base Case</c:v>
                </c:pt>
                <c:pt idx="1">
                  <c:v>DCF – Sensitivity Range</c:v>
                </c:pt>
                <c:pt idx="2">
                  <c:v>EV/EBITDA Comps</c:v>
                </c:pt>
                <c:pt idx="3">
                  <c:v>P/E Comps</c:v>
                </c:pt>
                <c:pt idx="4">
                  <c:v>52-Week Trading Range</c:v>
                </c:pt>
              </c:strCache>
            </c:strRef>
          </c:cat>
          <c:val>
            <c:numRef>
              <c:f>'Football Field'!$J$3:$J$7</c:f>
              <c:numCache>
                <c:formatCode>\$#,##0.00</c:formatCode>
                <c:ptCount val="5"/>
                <c:pt idx="0">
                  <c:v>388.964101951931</c:v>
                </c:pt>
                <c:pt idx="1">
                  <c:v>184.364421519981</c:v>
                </c:pt>
                <c:pt idx="2">
                  <c:v>12.472523364486</c:v>
                </c:pt>
                <c:pt idx="3">
                  <c:v>0</c:v>
                </c:pt>
                <c:pt idx="4">
                  <c:v>305</c:v>
                </c:pt>
              </c:numCache>
            </c:numRef>
          </c:val>
        </c:ser>
        <c:ser>
          <c:idx val="1"/>
          <c:order val="1"/>
          <c:tx>
            <c:strRef>
              <c:f>'Football Field'!K2</c:f>
              <c:strCache>
                <c:ptCount val="1"/>
                <c:pt idx="0">
                  <c:v>Bar Width</c:v>
                </c:pt>
              </c:strCache>
            </c:strRef>
          </c:tx>
          <c:spPr>
            <a:solidFill>
              <a:srgbClr val="2e75b6"/>
            </a:solidFill>
            <a:ln w="9360">
              <a:solidFill>
                <a:srgbClr val="1f3864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'Football Field'!$I$3:$I$7</c:f>
              <c:strCache>
                <c:ptCount val="5"/>
                <c:pt idx="0">
                  <c:v>DCF – Base Case</c:v>
                </c:pt>
                <c:pt idx="1">
                  <c:v>DCF – Sensitivity Range</c:v>
                </c:pt>
                <c:pt idx="2">
                  <c:v>EV/EBITDA Comps</c:v>
                </c:pt>
                <c:pt idx="3">
                  <c:v>P/E Comps</c:v>
                </c:pt>
                <c:pt idx="4">
                  <c:v>52-Week Trading Range</c:v>
                </c:pt>
              </c:strCache>
            </c:strRef>
          </c:cat>
          <c:val>
            <c:numRef>
              <c:f>'Football Field'!$K$3:$K$7</c:f>
              <c:numCache>
                <c:formatCode>\$#,##0.00</c:formatCode>
                <c:ptCount val="5"/>
                <c:pt idx="0">
                  <c:v>0</c:v>
                </c:pt>
                <c:pt idx="1">
                  <c:v>268.259592270872</c:v>
                </c:pt>
                <c:pt idx="2">
                  <c:v>1.23543925233644</c:v>
                </c:pt>
                <c:pt idx="3">
                  <c:v>0</c:v>
                </c:pt>
                <c:pt idx="4">
                  <c:v>76</c:v>
                </c:pt>
              </c:numCache>
            </c:numRef>
          </c:val>
        </c:ser>
        <c:gapWidth val="150"/>
        <c:overlap val="100"/>
        <c:axId val="97122983"/>
        <c:axId val="50281490"/>
      </c:barChart>
      <c:catAx>
        <c:axId val="97122983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Implied Share Price (USD)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281490"/>
        <c:crosses val="autoZero"/>
        <c:auto val="1"/>
        <c:lblAlgn val="ctr"/>
        <c:lblOffset val="100"/>
        <c:noMultiLvlLbl val="0"/>
      </c:catAx>
      <c:valAx>
        <c:axId val="5028149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\$#,##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12298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9</xdr:row>
      <xdr:rowOff>0</xdr:rowOff>
    </xdr:from>
    <xdr:to>
      <xdr:col>8</xdr:col>
      <xdr:colOff>1613520</xdr:colOff>
      <xdr:row>33</xdr:row>
      <xdr:rowOff>153000</xdr:rowOff>
    </xdr:to>
    <xdr:graphicFrame>
      <xdr:nvGraphicFramePr>
        <xdr:cNvPr id="0" name="Chart 1"/>
        <xdr:cNvGraphicFramePr/>
      </xdr:nvGraphicFramePr>
      <xdr:xfrm>
        <a:off x="211320" y="1714680"/>
        <a:ext cx="8639280" cy="50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3:C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50"/>
    <col collapsed="false" customWidth="true" hidden="false" outlineLevel="0" max="3" min="3" style="1" width="30"/>
  </cols>
  <sheetData>
    <row r="3" customFormat="false" ht="39.75" hidden="false" customHeight="true" outlineLevel="0" collapsed="false">
      <c r="B3" s="2" t="s">
        <v>0</v>
      </c>
      <c r="C3" s="2"/>
    </row>
    <row r="4" customFormat="false" ht="19.5" hidden="false" customHeight="true" outlineLevel="0" collapsed="false">
      <c r="B4" s="3" t="s">
        <v>1</v>
      </c>
      <c r="C4" s="3"/>
    </row>
    <row r="6" customFormat="false" ht="15" hidden="false" customHeight="true" outlineLevel="0" collapsed="false">
      <c r="B6" s="4" t="s">
        <v>2</v>
      </c>
      <c r="C6" s="5" t="s">
        <v>3</v>
      </c>
    </row>
    <row r="7" customFormat="false" ht="15" hidden="false" customHeight="true" outlineLevel="0" collapsed="false">
      <c r="B7" s="4" t="s">
        <v>4</v>
      </c>
      <c r="C7" s="5" t="s">
        <v>5</v>
      </c>
    </row>
    <row r="8" customFormat="false" ht="15" hidden="false" customHeight="true" outlineLevel="0" collapsed="false">
      <c r="B8" s="4" t="s">
        <v>6</v>
      </c>
      <c r="C8" s="5" t="s">
        <v>7</v>
      </c>
    </row>
    <row r="9" customFormat="false" ht="15" hidden="false" customHeight="true" outlineLevel="0" collapsed="false">
      <c r="B9" s="4" t="s">
        <v>8</v>
      </c>
      <c r="C9" s="5" t="s">
        <v>9</v>
      </c>
    </row>
    <row r="10" customFormat="false" ht="15" hidden="false" customHeight="true" outlineLevel="0" collapsed="false">
      <c r="B10" s="4" t="s">
        <v>10</v>
      </c>
      <c r="C10" s="5" t="s">
        <v>11</v>
      </c>
    </row>
    <row r="11" customFormat="false" ht="15" hidden="false" customHeight="true" outlineLevel="0" collapsed="false">
      <c r="B11" s="4" t="s">
        <v>12</v>
      </c>
      <c r="C11" s="5" t="s">
        <v>13</v>
      </c>
    </row>
    <row r="13" customFormat="false" ht="19.5" hidden="false" customHeight="true" outlineLevel="0" collapsed="false">
      <c r="B13" s="6" t="s">
        <v>14</v>
      </c>
      <c r="C13" s="6"/>
    </row>
    <row r="14" customFormat="false" ht="15" hidden="false" customHeight="true" outlineLevel="0" collapsed="false">
      <c r="B14" s="7" t="s">
        <v>15</v>
      </c>
      <c r="C14" s="8" t="s">
        <v>16</v>
      </c>
    </row>
    <row r="15" customFormat="false" ht="15" hidden="false" customHeight="true" outlineLevel="0" collapsed="false">
      <c r="B15" s="9" t="s">
        <v>17</v>
      </c>
      <c r="C15" s="10" t="s">
        <v>18</v>
      </c>
    </row>
    <row r="16" customFormat="false" ht="15" hidden="false" customHeight="true" outlineLevel="0" collapsed="false">
      <c r="B16" s="7" t="s">
        <v>19</v>
      </c>
      <c r="C16" s="8" t="s">
        <v>20</v>
      </c>
    </row>
    <row r="17" customFormat="false" ht="15" hidden="false" customHeight="true" outlineLevel="0" collapsed="false">
      <c r="B17" s="9" t="s">
        <v>21</v>
      </c>
      <c r="C17" s="10" t="s">
        <v>22</v>
      </c>
    </row>
    <row r="18" customFormat="false" ht="15" hidden="false" customHeight="true" outlineLevel="0" collapsed="false">
      <c r="B18" s="7" t="s">
        <v>23</v>
      </c>
      <c r="C18" s="8" t="s">
        <v>24</v>
      </c>
    </row>
    <row r="19" customFormat="false" ht="15" hidden="false" customHeight="true" outlineLevel="0" collapsed="false">
      <c r="B19" s="4" t="s">
        <v>25</v>
      </c>
      <c r="C19" s="5" t="s">
        <v>26</v>
      </c>
    </row>
    <row r="20" customFormat="false" ht="15" hidden="false" customHeight="true" outlineLevel="0" collapsed="false">
      <c r="B20" s="4" t="s">
        <v>27</v>
      </c>
      <c r="C20" s="5" t="s">
        <v>28</v>
      </c>
    </row>
    <row r="21" customFormat="false" ht="15" hidden="false" customHeight="true" outlineLevel="0" collapsed="false">
      <c r="B21" s="11" t="s">
        <v>29</v>
      </c>
      <c r="C21" s="12" t="s">
        <v>30</v>
      </c>
    </row>
    <row r="22" customFormat="false" ht="15" hidden="false" customHeight="true" outlineLevel="0" collapsed="false">
      <c r="B22" s="13" t="s">
        <v>31</v>
      </c>
      <c r="C22" s="12" t="s">
        <v>32</v>
      </c>
    </row>
    <row r="23" customFormat="false" ht="15" hidden="false" customHeight="true" outlineLevel="0" collapsed="false">
      <c r="B23" s="14" t="s">
        <v>33</v>
      </c>
      <c r="C23" s="12" t="s">
        <v>34</v>
      </c>
    </row>
    <row r="24" customFormat="false" ht="15" hidden="false" customHeight="true" outlineLevel="0" collapsed="false">
      <c r="B24" s="15" t="s">
        <v>35</v>
      </c>
      <c r="C24" s="12" t="s">
        <v>36</v>
      </c>
    </row>
  </sheetData>
  <mergeCells count="3">
    <mergeCell ref="B3:C3"/>
    <mergeCell ref="B4:C4"/>
    <mergeCell ref="B13:C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B2:D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8"/>
    <col collapsed="false" customWidth="true" hidden="false" outlineLevel="0" max="4" min="3" style="1" width="18"/>
  </cols>
  <sheetData>
    <row r="2" customFormat="false" ht="15" hidden="false" customHeight="true" outlineLevel="0" collapsed="false">
      <c r="B2" s="6" t="s">
        <v>37</v>
      </c>
      <c r="C2" s="6"/>
      <c r="D2" s="6"/>
    </row>
    <row r="4" customFormat="false" ht="15" hidden="false" customHeight="true" outlineLevel="0" collapsed="false">
      <c r="B4" s="16" t="s">
        <v>38</v>
      </c>
      <c r="C4" s="16"/>
      <c r="D4" s="16"/>
    </row>
    <row r="5" customFormat="false" ht="15" hidden="false" customHeight="true" outlineLevel="0" collapsed="false">
      <c r="B5" s="17" t="s">
        <v>39</v>
      </c>
      <c r="C5" s="17" t="s">
        <v>40</v>
      </c>
      <c r="D5" s="17" t="s">
        <v>41</v>
      </c>
    </row>
    <row r="6" customFormat="false" ht="15" hidden="false" customHeight="true" outlineLevel="0" collapsed="false">
      <c r="B6" s="18" t="s">
        <v>42</v>
      </c>
      <c r="C6" s="19" t="n">
        <v>17111</v>
      </c>
      <c r="D6" s="20" t="s">
        <v>43</v>
      </c>
    </row>
    <row r="7" customFormat="false" ht="15" hidden="false" customHeight="true" outlineLevel="0" collapsed="false">
      <c r="B7" s="21" t="s">
        <v>44</v>
      </c>
      <c r="C7" s="22" t="n">
        <v>0.055</v>
      </c>
      <c r="D7" s="23" t="s">
        <v>45</v>
      </c>
    </row>
    <row r="8" customFormat="false" ht="15" hidden="false" customHeight="true" outlineLevel="0" collapsed="false">
      <c r="B8" s="18" t="s">
        <v>46</v>
      </c>
      <c r="C8" s="24" t="n">
        <v>0.052</v>
      </c>
      <c r="D8" s="20" t="s">
        <v>47</v>
      </c>
    </row>
    <row r="9" customFormat="false" ht="15" hidden="false" customHeight="true" outlineLevel="0" collapsed="false">
      <c r="B9" s="21" t="s">
        <v>48</v>
      </c>
      <c r="C9" s="22" t="n">
        <v>0.05</v>
      </c>
      <c r="D9" s="23"/>
    </row>
    <row r="10" customFormat="false" ht="15" hidden="false" customHeight="true" outlineLevel="0" collapsed="false">
      <c r="B10" s="18" t="s">
        <v>49</v>
      </c>
      <c r="C10" s="24" t="n">
        <v>0.048</v>
      </c>
      <c r="D10" s="20"/>
    </row>
    <row r="11" customFormat="false" ht="15" hidden="false" customHeight="true" outlineLevel="0" collapsed="false">
      <c r="B11" s="21" t="s">
        <v>50</v>
      </c>
      <c r="C11" s="22" t="n">
        <v>0.045</v>
      </c>
      <c r="D11" s="23"/>
    </row>
    <row r="14" customFormat="false" ht="15" hidden="false" customHeight="true" outlineLevel="0" collapsed="false">
      <c r="B14" s="16" t="s">
        <v>51</v>
      </c>
      <c r="C14" s="16"/>
      <c r="D14" s="16"/>
    </row>
    <row r="15" customFormat="false" ht="15" hidden="false" customHeight="true" outlineLevel="0" collapsed="false">
      <c r="B15" s="17" t="s">
        <v>39</v>
      </c>
      <c r="C15" s="17" t="s">
        <v>40</v>
      </c>
      <c r="D15" s="17" t="s">
        <v>41</v>
      </c>
    </row>
    <row r="16" customFormat="false" ht="15" hidden="false" customHeight="true" outlineLevel="0" collapsed="false">
      <c r="B16" s="18" t="s">
        <v>52</v>
      </c>
      <c r="C16" s="25" t="n">
        <v>0.324</v>
      </c>
      <c r="D16" s="20" t="s">
        <v>53</v>
      </c>
    </row>
    <row r="17" customFormat="false" ht="15" hidden="false" customHeight="true" outlineLevel="0" collapsed="false">
      <c r="B17" s="21" t="s">
        <v>54</v>
      </c>
      <c r="C17" s="25" t="n">
        <v>0.33</v>
      </c>
      <c r="D17" s="23" t="s">
        <v>55</v>
      </c>
    </row>
    <row r="18" customFormat="false" ht="15" hidden="false" customHeight="true" outlineLevel="0" collapsed="false">
      <c r="B18" s="18" t="s">
        <v>56</v>
      </c>
      <c r="C18" s="24" t="n">
        <v>0.028</v>
      </c>
      <c r="D18" s="20" t="s">
        <v>57</v>
      </c>
    </row>
    <row r="19" customFormat="false" ht="15" hidden="false" customHeight="true" outlineLevel="0" collapsed="false">
      <c r="B19" s="21" t="s">
        <v>58</v>
      </c>
      <c r="C19" s="22" t="n">
        <v>0.018</v>
      </c>
      <c r="D19" s="23" t="s">
        <v>59</v>
      </c>
    </row>
    <row r="20" customFormat="false" ht="15" hidden="false" customHeight="true" outlineLevel="0" collapsed="false">
      <c r="B20" s="18" t="s">
        <v>60</v>
      </c>
      <c r="C20" s="24" t="n">
        <v>-0.005</v>
      </c>
      <c r="D20" s="20" t="s">
        <v>61</v>
      </c>
    </row>
    <row r="21" customFormat="false" ht="15" hidden="false" customHeight="true" outlineLevel="0" collapsed="false">
      <c r="B21" s="21" t="s">
        <v>62</v>
      </c>
      <c r="C21" s="22" t="n">
        <v>0.185</v>
      </c>
      <c r="D21" s="23" t="s">
        <v>63</v>
      </c>
    </row>
    <row r="24" customFormat="false" ht="15" hidden="false" customHeight="true" outlineLevel="0" collapsed="false">
      <c r="B24" s="16" t="s">
        <v>64</v>
      </c>
      <c r="C24" s="16"/>
      <c r="D24" s="16"/>
    </row>
    <row r="25" customFormat="false" ht="15" hidden="false" customHeight="true" outlineLevel="0" collapsed="false">
      <c r="B25" s="17" t="s">
        <v>39</v>
      </c>
      <c r="C25" s="17" t="s">
        <v>65</v>
      </c>
      <c r="D25" s="17" t="s">
        <v>41</v>
      </c>
    </row>
    <row r="26" customFormat="false" ht="15" hidden="false" customHeight="true" outlineLevel="0" collapsed="false">
      <c r="B26" s="18" t="s">
        <v>66</v>
      </c>
      <c r="C26" s="25" t="n">
        <v>0.043</v>
      </c>
      <c r="D26" s="20" t="s">
        <v>67</v>
      </c>
    </row>
    <row r="27" customFormat="false" ht="15" hidden="false" customHeight="true" outlineLevel="0" collapsed="false">
      <c r="B27" s="21" t="s">
        <v>68</v>
      </c>
      <c r="C27" s="22" t="n">
        <v>0.055</v>
      </c>
      <c r="D27" s="23" t="s">
        <v>69</v>
      </c>
    </row>
    <row r="28" customFormat="false" ht="15" hidden="false" customHeight="true" outlineLevel="0" collapsed="false">
      <c r="B28" s="18" t="s">
        <v>70</v>
      </c>
      <c r="C28" s="26" t="n">
        <v>1.05</v>
      </c>
      <c r="D28" s="20" t="s">
        <v>71</v>
      </c>
    </row>
    <row r="29" customFormat="false" ht="15" hidden="false" customHeight="true" outlineLevel="0" collapsed="false">
      <c r="B29" s="21" t="s">
        <v>72</v>
      </c>
      <c r="C29" s="27" t="n">
        <f aca="false">C26+C28*C27</f>
        <v>0.10075</v>
      </c>
      <c r="D29" s="23" t="s">
        <v>73</v>
      </c>
    </row>
    <row r="30" customFormat="false" ht="15" hidden="false" customHeight="true" outlineLevel="0" collapsed="false">
      <c r="B30" s="18" t="s">
        <v>74</v>
      </c>
      <c r="C30" s="24" t="n">
        <v>0.052</v>
      </c>
      <c r="D30" s="20" t="s">
        <v>75</v>
      </c>
    </row>
    <row r="31" customFormat="false" ht="15" hidden="false" customHeight="true" outlineLevel="0" collapsed="false">
      <c r="B31" s="21" t="s">
        <v>76</v>
      </c>
      <c r="C31" s="22" t="n">
        <v>0.19</v>
      </c>
      <c r="D31" s="23" t="s">
        <v>77</v>
      </c>
    </row>
    <row r="32" customFormat="false" ht="15" hidden="false" customHeight="true" outlineLevel="0" collapsed="false">
      <c r="B32" s="18" t="s">
        <v>78</v>
      </c>
      <c r="C32" s="28" t="n">
        <f aca="false">C30*(1-C31)</f>
        <v>0.04212</v>
      </c>
      <c r="D32" s="20" t="s">
        <v>79</v>
      </c>
    </row>
    <row r="33" customFormat="false" ht="15" hidden="false" customHeight="true" outlineLevel="0" collapsed="false">
      <c r="B33" s="21" t="s">
        <v>80</v>
      </c>
      <c r="C33" s="22" t="n">
        <v>0.38</v>
      </c>
      <c r="D33" s="23" t="s">
        <v>81</v>
      </c>
    </row>
    <row r="34" customFormat="false" ht="15" hidden="false" customHeight="true" outlineLevel="0" collapsed="false">
      <c r="B34" s="18" t="s">
        <v>82</v>
      </c>
      <c r="C34" s="24" t="n">
        <v>0.62</v>
      </c>
      <c r="D34" s="20"/>
    </row>
    <row r="35" customFormat="false" ht="15" hidden="false" customHeight="true" outlineLevel="0" collapsed="false">
      <c r="B35" s="21" t="s">
        <v>83</v>
      </c>
      <c r="C35" s="27" t="n">
        <f aca="false">C29*C34+C32*C33</f>
        <v>0.0784706</v>
      </c>
      <c r="D35" s="23" t="s">
        <v>84</v>
      </c>
    </row>
    <row r="36" customFormat="false" ht="15" hidden="false" customHeight="true" outlineLevel="0" collapsed="false">
      <c r="B36" s="18" t="s">
        <v>85</v>
      </c>
      <c r="C36" s="25" t="n">
        <v>0.025</v>
      </c>
      <c r="D36" s="20" t="s">
        <v>86</v>
      </c>
    </row>
  </sheetData>
  <mergeCells count="4">
    <mergeCell ref="B2:D2"/>
    <mergeCell ref="B4:D4"/>
    <mergeCell ref="B14:D14"/>
    <mergeCell ref="B24:D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B2:J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6"/>
    <col collapsed="false" customWidth="true" hidden="false" outlineLevel="0" max="10" min="3" style="1" width="13"/>
  </cols>
  <sheetData>
    <row r="2" customFormat="false" ht="15" hidden="false" customHeight="true" outlineLevel="0" collapsed="false">
      <c r="B2" s="6" t="s">
        <v>87</v>
      </c>
      <c r="C2" s="6"/>
      <c r="D2" s="6"/>
      <c r="E2" s="6"/>
      <c r="F2" s="6"/>
      <c r="G2" s="6"/>
      <c r="H2" s="6"/>
      <c r="I2" s="6"/>
      <c r="J2" s="6"/>
    </row>
    <row r="3" customFormat="false" ht="15" hidden="false" customHeight="true" outlineLevel="0" collapsed="false">
      <c r="B3" s="17"/>
      <c r="C3" s="17" t="s">
        <v>88</v>
      </c>
      <c r="D3" s="17" t="s">
        <v>89</v>
      </c>
      <c r="E3" s="17" t="s">
        <v>90</v>
      </c>
      <c r="F3" s="17" t="s">
        <v>91</v>
      </c>
      <c r="G3" s="17" t="s">
        <v>92</v>
      </c>
      <c r="H3" s="17" t="s">
        <v>93</v>
      </c>
      <c r="I3" s="17" t="s">
        <v>94</v>
      </c>
      <c r="J3" s="17" t="s">
        <v>95</v>
      </c>
    </row>
    <row r="4" customFormat="false" ht="15" hidden="false" customHeight="true" outlineLevel="0" collapsed="false">
      <c r="B4" s="18" t="s">
        <v>96</v>
      </c>
      <c r="C4" s="29" t="n">
        <v>13376</v>
      </c>
      <c r="D4" s="29" t="n">
        <v>15698</v>
      </c>
      <c r="E4" s="29" t="n">
        <v>17111</v>
      </c>
      <c r="F4" s="30" t="n">
        <f aca="false">E4*(1+Assumptions!$C$7)</f>
        <v>18052.105</v>
      </c>
      <c r="G4" s="30" t="n">
        <f aca="false">F4*(1+Assumptions!$C$8)</f>
        <v>18990.81446</v>
      </c>
      <c r="H4" s="30" t="n">
        <f aca="false">G4*(1+Assumptions!$C$9)</f>
        <v>19940.355183</v>
      </c>
      <c r="I4" s="30" t="n">
        <f aca="false">H4*(1+Assumptions!$C$10)</f>
        <v>20897.492231784</v>
      </c>
      <c r="J4" s="30" t="n">
        <f aca="false">I4*(1+Assumptions!$C$11)</f>
        <v>21837.8793822143</v>
      </c>
    </row>
    <row r="5" customFormat="false" ht="15" hidden="false" customHeight="true" outlineLevel="0" collapsed="false">
      <c r="B5" s="31" t="s">
        <v>97</v>
      </c>
      <c r="C5" s="32" t="n">
        <v>4011</v>
      </c>
      <c r="D5" s="32" t="n">
        <v>4934</v>
      </c>
      <c r="E5" s="32" t="n">
        <v>5546</v>
      </c>
      <c r="F5" s="33" t="n">
        <f aca="false">F4*Assumptions!$C$17</f>
        <v>5957.19465</v>
      </c>
      <c r="G5" s="33" t="n">
        <f aca="false">G4*Assumptions!$C$17</f>
        <v>6266.9687718</v>
      </c>
      <c r="H5" s="33" t="n">
        <f aca="false">H4*Assumptions!$C$17</f>
        <v>6580.31721039</v>
      </c>
      <c r="I5" s="33" t="n">
        <f aca="false">I4*Assumptions!$C$17</f>
        <v>6896.17243648872</v>
      </c>
      <c r="J5" s="33" t="n">
        <f aca="false">J4*Assumptions!$C$17</f>
        <v>7206.50019613071</v>
      </c>
    </row>
    <row r="6" customFormat="false" ht="15" hidden="false" customHeight="true" outlineLevel="0" collapsed="false">
      <c r="B6" s="18" t="s">
        <v>98</v>
      </c>
      <c r="C6" s="29" t="n">
        <v>366</v>
      </c>
      <c r="D6" s="29" t="n">
        <v>440</v>
      </c>
      <c r="E6" s="29" t="n">
        <v>480</v>
      </c>
      <c r="F6" s="30" t="n">
        <f aca="false">F4*Assumptions!$C$18</f>
        <v>505.45894</v>
      </c>
      <c r="G6" s="30" t="n">
        <f aca="false">G4*Assumptions!$C$18</f>
        <v>531.74280488</v>
      </c>
      <c r="H6" s="30" t="n">
        <f aca="false">H4*Assumptions!$C$18</f>
        <v>558.329945124</v>
      </c>
      <c r="I6" s="30" t="n">
        <f aca="false">I4*Assumptions!$C$18</f>
        <v>585.129782489952</v>
      </c>
      <c r="J6" s="30" t="n">
        <f aca="false">J4*Assumptions!$C$18</f>
        <v>611.460622702</v>
      </c>
    </row>
    <row r="7" customFormat="false" ht="15" hidden="false" customHeight="true" outlineLevel="0" collapsed="false">
      <c r="B7" s="31" t="s">
        <v>99</v>
      </c>
      <c r="C7" s="32" t="n">
        <v>3645</v>
      </c>
      <c r="D7" s="32" t="n">
        <v>4494</v>
      </c>
      <c r="E7" s="32" t="n">
        <v>5066</v>
      </c>
      <c r="F7" s="33" t="n">
        <f aca="false">F5-F6</f>
        <v>5451.73571</v>
      </c>
      <c r="G7" s="33" t="n">
        <f aca="false">G5-G6</f>
        <v>5735.22596692</v>
      </c>
      <c r="H7" s="33" t="n">
        <f aca="false">H5-H6</f>
        <v>6021.987265266</v>
      </c>
      <c r="I7" s="33" t="n">
        <f aca="false">I5-I6</f>
        <v>6311.04265399877</v>
      </c>
      <c r="J7" s="33" t="n">
        <f aca="false">J5-J6</f>
        <v>6595.03957342871</v>
      </c>
    </row>
    <row r="8" customFormat="false" ht="15" hidden="false" customHeight="true" outlineLevel="0" collapsed="false">
      <c r="B8" s="18" t="s">
        <v>100</v>
      </c>
      <c r="C8" s="29" t="n">
        <v>520</v>
      </c>
      <c r="D8" s="29" t="n">
        <v>608</v>
      </c>
      <c r="E8" s="29" t="n">
        <v>720</v>
      </c>
      <c r="F8" s="30" t="n">
        <f aca="false">E8*1.02</f>
        <v>734.4</v>
      </c>
      <c r="G8" s="30" t="n">
        <f aca="false">F8*1.02</f>
        <v>749.088</v>
      </c>
      <c r="H8" s="30" t="n">
        <f aca="false">G8*1.02</f>
        <v>764.06976</v>
      </c>
      <c r="I8" s="30" t="n">
        <f aca="false">H8*1.02</f>
        <v>779.3511552</v>
      </c>
      <c r="J8" s="30" t="n">
        <f aca="false">I8*1.02</f>
        <v>794.938178304</v>
      </c>
    </row>
    <row r="9" customFormat="false" ht="15" hidden="false" customHeight="true" outlineLevel="0" collapsed="false">
      <c r="B9" s="31" t="s">
        <v>101</v>
      </c>
      <c r="C9" s="32" t="n">
        <v>3125</v>
      </c>
      <c r="D9" s="32" t="n">
        <v>3886</v>
      </c>
      <c r="E9" s="32" t="n">
        <v>4346</v>
      </c>
      <c r="F9" s="33" t="n">
        <f aca="false">F7-F8</f>
        <v>4717.33571</v>
      </c>
      <c r="G9" s="33" t="n">
        <f aca="false">G7-G8</f>
        <v>4986.13796692</v>
      </c>
      <c r="H9" s="33" t="n">
        <f aca="false">H7-H8</f>
        <v>5257.917505266</v>
      </c>
      <c r="I9" s="33" t="n">
        <f aca="false">I7-I8</f>
        <v>5531.69149879877</v>
      </c>
      <c r="J9" s="33" t="n">
        <f aca="false">J7-J8</f>
        <v>5800.10139512471</v>
      </c>
    </row>
    <row r="10" customFormat="false" ht="15" hidden="false" customHeight="true" outlineLevel="0" collapsed="false">
      <c r="B10" s="18" t="s">
        <v>102</v>
      </c>
      <c r="C10" s="29" t="n">
        <v>590</v>
      </c>
      <c r="D10" s="29" t="n">
        <v>718</v>
      </c>
      <c r="E10" s="29" t="n">
        <v>826</v>
      </c>
      <c r="F10" s="30" t="n">
        <f aca="false">F9*Assumptions!$C$31</f>
        <v>896.2937849</v>
      </c>
      <c r="G10" s="30" t="n">
        <f aca="false">G9*Assumptions!$C$31</f>
        <v>947.3662137148</v>
      </c>
      <c r="H10" s="30" t="n">
        <f aca="false">H9*Assumptions!$C$31</f>
        <v>999.00432600054</v>
      </c>
      <c r="I10" s="30" t="n">
        <f aca="false">I9*Assumptions!$C$31</f>
        <v>1051.02138477177</v>
      </c>
      <c r="J10" s="30" t="n">
        <f aca="false">J9*Assumptions!$C$31</f>
        <v>1102.0192650737</v>
      </c>
    </row>
    <row r="11" customFormat="false" ht="15" hidden="false" customHeight="true" outlineLevel="0" collapsed="false">
      <c r="B11" s="31" t="s">
        <v>103</v>
      </c>
      <c r="C11" s="32" t="n">
        <v>2535</v>
      </c>
      <c r="D11" s="32" t="n">
        <v>3168</v>
      </c>
      <c r="E11" s="32" t="n">
        <v>3520</v>
      </c>
      <c r="F11" s="33" t="n">
        <f aca="false">F9-F10</f>
        <v>3821.0419251</v>
      </c>
      <c r="G11" s="33" t="n">
        <f aca="false">G9-G10</f>
        <v>4038.7717532052</v>
      </c>
      <c r="H11" s="33" t="n">
        <f aca="false">H9-H10</f>
        <v>4258.91317926546</v>
      </c>
      <c r="I11" s="33" t="n">
        <f aca="false">I9-I10</f>
        <v>4480.670114027</v>
      </c>
      <c r="J11" s="33" t="n">
        <f aca="false">J9-J10</f>
        <v>4698.08213005102</v>
      </c>
    </row>
    <row r="13" customFormat="false" ht="15" hidden="false" customHeight="true" outlineLevel="0" collapsed="false">
      <c r="B13" s="34" t="s">
        <v>104</v>
      </c>
      <c r="C13" s="35" t="n">
        <f aca="false">C5/C4</f>
        <v>0.29986543062201</v>
      </c>
      <c r="D13" s="35" t="n">
        <f aca="false">D5/D4</f>
        <v>0.314307555102561</v>
      </c>
      <c r="E13" s="35" t="n">
        <f aca="false">E5/E4</f>
        <v>0.324118987785635</v>
      </c>
      <c r="F13" s="35" t="n">
        <f aca="false">F5/F4</f>
        <v>0.33</v>
      </c>
      <c r="G13" s="35" t="n">
        <f aca="false">G5/G4</f>
        <v>0.33</v>
      </c>
      <c r="H13" s="35" t="n">
        <f aca="false">H5/H4</f>
        <v>0.33</v>
      </c>
      <c r="I13" s="35" t="n">
        <f aca="false">I5/I4</f>
        <v>0.33</v>
      </c>
      <c r="J13" s="35" t="n">
        <f aca="false">J5/J4</f>
        <v>0.33</v>
      </c>
    </row>
    <row r="14" customFormat="false" ht="15" hidden="false" customHeight="true" outlineLevel="0" collapsed="false">
      <c r="B14" s="34" t="s">
        <v>105</v>
      </c>
      <c r="C14" s="36"/>
      <c r="D14" s="35" t="n">
        <f aca="false">(D4-C4)/C4</f>
        <v>0.173594497607656</v>
      </c>
      <c r="E14" s="35" t="n">
        <f aca="false">(E4-D4)/D4</f>
        <v>0.0900114664288444</v>
      </c>
      <c r="F14" s="35" t="n">
        <f aca="false">(F4-E4)/E4</f>
        <v>0.055</v>
      </c>
      <c r="G14" s="35" t="n">
        <f aca="false">(G4-F4)/F4</f>
        <v>0.0520000000000001</v>
      </c>
      <c r="H14" s="35" t="n">
        <f aca="false">(H4-G4)/G4</f>
        <v>0.0500000000000001</v>
      </c>
      <c r="I14" s="35" t="n">
        <f aca="false">(I4-H4)/H4</f>
        <v>0.048</v>
      </c>
      <c r="J14" s="35" t="n">
        <f aca="false">(J4-I4)/I4</f>
        <v>0.0449999999999998</v>
      </c>
    </row>
  </sheetData>
  <mergeCells count="1">
    <mergeCell ref="B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B2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7" min="3" style="1" width="14"/>
  </cols>
  <sheetData>
    <row r="2" customFormat="false" ht="15" hidden="false" customHeight="true" outlineLevel="0" collapsed="false">
      <c r="B2" s="6" t="s">
        <v>106</v>
      </c>
      <c r="C2" s="6"/>
      <c r="D2" s="6"/>
      <c r="E2" s="6"/>
      <c r="F2" s="6"/>
      <c r="G2" s="6"/>
    </row>
    <row r="3" customFormat="false" ht="15" hidden="false" customHeight="true" outlineLevel="0" collapsed="false">
      <c r="B3" s="17"/>
      <c r="C3" s="17" t="s">
        <v>91</v>
      </c>
      <c r="D3" s="17" t="s">
        <v>92</v>
      </c>
      <c r="E3" s="17" t="s">
        <v>93</v>
      </c>
      <c r="F3" s="17" t="s">
        <v>94</v>
      </c>
      <c r="G3" s="17" t="s">
        <v>95</v>
      </c>
    </row>
    <row r="4" customFormat="false" ht="15" hidden="false" customHeight="true" outlineLevel="0" collapsed="false">
      <c r="B4" s="18" t="s">
        <v>99</v>
      </c>
      <c r="C4" s="37" t="n">
        <f aca="false">'Income Statement'!F7</f>
        <v>5451.73571</v>
      </c>
      <c r="D4" s="37" t="n">
        <f aca="false">'Income Statement'!G7</f>
        <v>5735.22596692</v>
      </c>
      <c r="E4" s="37" t="n">
        <f aca="false">'Income Statement'!H7</f>
        <v>6021.987265266</v>
      </c>
      <c r="F4" s="37" t="n">
        <f aca="false">'Income Statement'!I7</f>
        <v>6311.04265399877</v>
      </c>
      <c r="G4" s="37" t="n">
        <f aca="false">'Income Statement'!J7</f>
        <v>6595.03957342871</v>
      </c>
    </row>
    <row r="5" customFormat="false" ht="15" hidden="false" customHeight="true" outlineLevel="0" collapsed="false">
      <c r="B5" s="21" t="s">
        <v>107</v>
      </c>
      <c r="C5" s="38" t="n">
        <f aca="false">-'Income Statement'!F7*Assumptions!$C$31</f>
        <v>-1035.8297849</v>
      </c>
      <c r="D5" s="38" t="n">
        <f aca="false">-'Income Statement'!G7*Assumptions!$C$31</f>
        <v>-1089.6929337148</v>
      </c>
      <c r="E5" s="38" t="n">
        <f aca="false">-'Income Statement'!H7*Assumptions!$C$31</f>
        <v>-1144.17758040054</v>
      </c>
      <c r="F5" s="38" t="n">
        <f aca="false">-'Income Statement'!I7*Assumptions!$C$31</f>
        <v>-1199.09810425977</v>
      </c>
      <c r="G5" s="38" t="n">
        <f aca="false">-'Income Statement'!J7*Assumptions!$C$31</f>
        <v>-1253.05751895146</v>
      </c>
    </row>
    <row r="6" customFormat="false" ht="15" hidden="false" customHeight="true" outlineLevel="0" collapsed="false">
      <c r="B6" s="34" t="s">
        <v>108</v>
      </c>
      <c r="C6" s="39" t="n">
        <f aca="false">C4+C5</f>
        <v>4415.9059251</v>
      </c>
      <c r="D6" s="39" t="n">
        <f aca="false">D4+D5</f>
        <v>4645.5330332052</v>
      </c>
      <c r="E6" s="39" t="n">
        <f aca="false">E4+E5</f>
        <v>4877.80968486546</v>
      </c>
      <c r="F6" s="39" t="n">
        <f aca="false">F4+F5</f>
        <v>5111.944549739</v>
      </c>
      <c r="G6" s="39" t="n">
        <f aca="false">G4+G5</f>
        <v>5341.98205447726</v>
      </c>
    </row>
    <row r="7" customFormat="false" ht="15" hidden="false" customHeight="true" outlineLevel="0" collapsed="false">
      <c r="B7" s="21" t="s">
        <v>109</v>
      </c>
      <c r="C7" s="40" t="n">
        <f aca="false">'Income Statement'!F6</f>
        <v>505.45894</v>
      </c>
      <c r="D7" s="40" t="n">
        <f aca="false">'Income Statement'!G6</f>
        <v>531.74280488</v>
      </c>
      <c r="E7" s="40" t="n">
        <f aca="false">'Income Statement'!H6</f>
        <v>558.329945124</v>
      </c>
      <c r="F7" s="40" t="n">
        <f aca="false">'Income Statement'!I6</f>
        <v>585.129782489952</v>
      </c>
      <c r="G7" s="40" t="n">
        <f aca="false">'Income Statement'!J6</f>
        <v>611.460622702</v>
      </c>
    </row>
    <row r="8" customFormat="false" ht="15" hidden="false" customHeight="true" outlineLevel="0" collapsed="false">
      <c r="B8" s="18" t="s">
        <v>110</v>
      </c>
      <c r="C8" s="30" t="n">
        <f aca="false">-'Income Statement'!F4*Assumptions!$C$19</f>
        <v>-324.93789</v>
      </c>
      <c r="D8" s="30" t="n">
        <f aca="false">-'Income Statement'!G4*Assumptions!$C$19</f>
        <v>-341.83466028</v>
      </c>
      <c r="E8" s="30" t="n">
        <f aca="false">-'Income Statement'!H4*Assumptions!$C$19</f>
        <v>-358.926393294</v>
      </c>
      <c r="F8" s="30" t="n">
        <f aca="false">-'Income Statement'!I4*Assumptions!$C$19</f>
        <v>-376.154860172112</v>
      </c>
      <c r="G8" s="30" t="n">
        <f aca="false">-'Income Statement'!J4*Assumptions!$C$19</f>
        <v>-393.081828879857</v>
      </c>
    </row>
    <row r="9" customFormat="false" ht="15" hidden="false" customHeight="true" outlineLevel="0" collapsed="false">
      <c r="B9" s="21" t="s">
        <v>111</v>
      </c>
      <c r="C9" s="38" t="n">
        <f aca="false">'Income Statement'!F4*Assumptions!$C$20</f>
        <v>-90.260525</v>
      </c>
      <c r="D9" s="38" t="n">
        <f aca="false">'Income Statement'!G4*Assumptions!$C$20</f>
        <v>-94.9540723</v>
      </c>
      <c r="E9" s="38" t="n">
        <f aca="false">'Income Statement'!H4*Assumptions!$C$20</f>
        <v>-99.701775915</v>
      </c>
      <c r="F9" s="38" t="n">
        <f aca="false">'Income Statement'!I4*Assumptions!$C$20</f>
        <v>-104.48746115892</v>
      </c>
      <c r="G9" s="38" t="n">
        <f aca="false">'Income Statement'!J4*Assumptions!$C$20</f>
        <v>-109.189396911071</v>
      </c>
    </row>
    <row r="10" customFormat="false" ht="15" hidden="false" customHeight="true" outlineLevel="0" collapsed="false">
      <c r="B10" s="34" t="s">
        <v>112</v>
      </c>
      <c r="C10" s="39" t="n">
        <f aca="false">C6+C7+C8+C9</f>
        <v>4506.1664501</v>
      </c>
      <c r="D10" s="39" t="n">
        <f aca="false">D6+D7+D8+D9</f>
        <v>4740.4871055052</v>
      </c>
      <c r="E10" s="39" t="n">
        <f aca="false">E6+E7+E8+E9</f>
        <v>4977.51146078046</v>
      </c>
      <c r="F10" s="39" t="n">
        <f aca="false">F6+F7+F8+F9</f>
        <v>5216.43201089792</v>
      </c>
      <c r="G10" s="39" t="n">
        <f aca="false">G6+G7+G8+G9</f>
        <v>5451.17145138833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B2:H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2"/>
    <col collapsed="false" customWidth="true" hidden="false" outlineLevel="0" max="9" min="3" style="1" width="14"/>
  </cols>
  <sheetData>
    <row r="2" customFormat="false" ht="15" hidden="false" customHeight="true" outlineLevel="0" collapsed="false">
      <c r="B2" s="6" t="s">
        <v>113</v>
      </c>
      <c r="C2" s="6"/>
      <c r="D2" s="6"/>
      <c r="E2" s="6"/>
      <c r="F2" s="6"/>
      <c r="G2" s="6"/>
      <c r="H2" s="6"/>
    </row>
    <row r="4" customFormat="false" ht="15" hidden="false" customHeight="true" outlineLevel="0" collapsed="false">
      <c r="B4" s="16" t="s">
        <v>114</v>
      </c>
      <c r="C4" s="16"/>
      <c r="D4" s="16"/>
    </row>
    <row r="5" customFormat="false" ht="15" hidden="false" customHeight="true" outlineLevel="0" collapsed="false">
      <c r="B5" s="41" t="s">
        <v>83</v>
      </c>
      <c r="C5" s="42" t="n">
        <f aca="false">Assumptions!C35</f>
        <v>0.0784706</v>
      </c>
    </row>
    <row r="6" customFormat="false" ht="15" hidden="false" customHeight="true" outlineLevel="0" collapsed="false">
      <c r="B6" s="41" t="s">
        <v>85</v>
      </c>
      <c r="C6" s="42" t="n">
        <f aca="false">Assumptions!C36</f>
        <v>0.025</v>
      </c>
    </row>
    <row r="8" customFormat="false" ht="15" hidden="false" customHeight="true" outlineLevel="0" collapsed="false">
      <c r="B8" s="16" t="s">
        <v>115</v>
      </c>
      <c r="C8" s="16"/>
      <c r="D8" s="16"/>
      <c r="E8" s="16"/>
      <c r="F8" s="16"/>
      <c r="G8" s="16"/>
      <c r="H8" s="16"/>
    </row>
    <row r="9" customFormat="false" ht="15" hidden="false" customHeight="true" outlineLevel="0" collapsed="false">
      <c r="B9" s="17"/>
      <c r="C9" s="17" t="s">
        <v>91</v>
      </c>
      <c r="D9" s="17" t="s">
        <v>92</v>
      </c>
      <c r="E9" s="17" t="s">
        <v>93</v>
      </c>
      <c r="F9" s="17" t="s">
        <v>94</v>
      </c>
      <c r="G9" s="17" t="s">
        <v>95</v>
      </c>
      <c r="H9" s="43" t="s">
        <v>116</v>
      </c>
    </row>
    <row r="10" customFormat="false" ht="15" hidden="false" customHeight="true" outlineLevel="0" collapsed="false">
      <c r="B10" s="41" t="s">
        <v>117</v>
      </c>
      <c r="C10" s="44" t="n">
        <v>1</v>
      </c>
      <c r="D10" s="44" t="n">
        <v>2</v>
      </c>
      <c r="E10" s="44" t="n">
        <v>3</v>
      </c>
      <c r="F10" s="44" t="n">
        <v>4</v>
      </c>
      <c r="G10" s="44" t="n">
        <v>5</v>
      </c>
    </row>
    <row r="11" customFormat="false" ht="15" hidden="false" customHeight="true" outlineLevel="0" collapsed="false">
      <c r="B11" s="41" t="s">
        <v>118</v>
      </c>
      <c r="C11" s="45" t="n">
        <f aca="false">1/(1+$C$5)^C10</f>
        <v>0.927238999375597</v>
      </c>
      <c r="D11" s="45" t="n">
        <f aca="false">1/(1+$C$5)^D10</f>
        <v>0.859772161963059</v>
      </c>
      <c r="E11" s="45" t="n">
        <f aca="false">1/(1+$C$5)^E10</f>
        <v>0.797214279149621</v>
      </c>
      <c r="F11" s="45" t="n">
        <f aca="false">1/(1+$C$5)^F10</f>
        <v>0.739208170486632</v>
      </c>
      <c r="G11" s="45" t="n">
        <f aca="false">1/(1+$C$5)^G10</f>
        <v>0.685422644332291</v>
      </c>
    </row>
    <row r="12" customFormat="false" ht="15" hidden="false" customHeight="true" outlineLevel="0" collapsed="false">
      <c r="B12" s="41" t="s">
        <v>119</v>
      </c>
      <c r="C12" s="46" t="n">
        <f aca="false">'FCF Build'!C10</f>
        <v>4506.1664501</v>
      </c>
      <c r="D12" s="46" t="n">
        <f aca="false">'FCF Build'!D10</f>
        <v>4740.4871055052</v>
      </c>
      <c r="E12" s="46" t="n">
        <f aca="false">'FCF Build'!E10</f>
        <v>4977.51146078046</v>
      </c>
      <c r="F12" s="46" t="n">
        <f aca="false">'FCF Build'!F10</f>
        <v>5216.43201089792</v>
      </c>
      <c r="G12" s="46" t="n">
        <f aca="false">'FCF Build'!G10</f>
        <v>5451.17145138833</v>
      </c>
    </row>
    <row r="13" customFormat="false" ht="15" hidden="false" customHeight="true" outlineLevel="0" collapsed="false">
      <c r="B13" s="47" t="s">
        <v>120</v>
      </c>
      <c r="C13" s="48" t="n">
        <f aca="false">C11*C12</f>
        <v>4178.29327021061</v>
      </c>
      <c r="D13" s="48" t="n">
        <f aca="false">D11*D12</f>
        <v>4075.73884745821</v>
      </c>
      <c r="E13" s="48" t="n">
        <f aca="false">E11*E12</f>
        <v>3968.14321116507</v>
      </c>
      <c r="F13" s="48" t="n">
        <f aca="false">F11*F12</f>
        <v>3856.02916324376</v>
      </c>
      <c r="G13" s="48" t="n">
        <f aca="false">G11*G12</f>
        <v>3736.35635091928</v>
      </c>
      <c r="H13" s="49" t="n">
        <f aca="false">SUM(C13:G13)</f>
        <v>19814.5608429969</v>
      </c>
    </row>
    <row r="15" customFormat="false" ht="15" hidden="false" customHeight="true" outlineLevel="0" collapsed="false">
      <c r="B15" s="16" t="s">
        <v>121</v>
      </c>
      <c r="C15" s="16"/>
      <c r="D15" s="16"/>
      <c r="E15" s="16"/>
    </row>
    <row r="16" customFormat="false" ht="15" hidden="false" customHeight="true" outlineLevel="0" collapsed="false">
      <c r="B16" s="41" t="s">
        <v>122</v>
      </c>
      <c r="C16" s="50" t="n">
        <f aca="false">'FCF Build'!G10</f>
        <v>5451.17145138833</v>
      </c>
    </row>
    <row r="17" customFormat="false" ht="15" hidden="false" customHeight="true" outlineLevel="0" collapsed="false">
      <c r="B17" s="41" t="s">
        <v>123</v>
      </c>
      <c r="C17" s="51" t="n">
        <f aca="false">C16*(1+C6)/(C5-C6)</f>
        <v>104495.755380958</v>
      </c>
    </row>
    <row r="18" customFormat="false" ht="15" hidden="false" customHeight="true" outlineLevel="0" collapsed="false">
      <c r="B18" s="41" t="s">
        <v>124</v>
      </c>
      <c r="C18" s="51" t="n">
        <f aca="false">C17/(1+C5)^5</f>
        <v>71623.7569747162</v>
      </c>
    </row>
    <row r="20" customFormat="false" ht="15" hidden="false" customHeight="true" outlineLevel="0" collapsed="false">
      <c r="B20" s="16" t="s">
        <v>125</v>
      </c>
      <c r="C20" s="16"/>
      <c r="D20" s="16"/>
      <c r="E20" s="16"/>
    </row>
    <row r="21" customFormat="false" ht="15" hidden="false" customHeight="true" outlineLevel="0" collapsed="false">
      <c r="B21" s="41" t="s">
        <v>126</v>
      </c>
      <c r="C21" s="52" t="n">
        <f aca="false">H13</f>
        <v>19814.5608429969</v>
      </c>
    </row>
    <row r="22" customFormat="false" ht="15" hidden="false" customHeight="true" outlineLevel="0" collapsed="false">
      <c r="B22" s="41" t="s">
        <v>127</v>
      </c>
      <c r="C22" s="52" t="n">
        <f aca="false">C18</f>
        <v>71623.7569747162</v>
      </c>
    </row>
    <row r="23" customFormat="false" ht="15" hidden="false" customHeight="true" outlineLevel="0" collapsed="false">
      <c r="B23" s="47" t="s">
        <v>128</v>
      </c>
      <c r="C23" s="49" t="n">
        <f aca="false">C21+C22</f>
        <v>91438.3178177132</v>
      </c>
    </row>
    <row r="24" customFormat="false" ht="15" hidden="false" customHeight="true" outlineLevel="0" collapsed="false">
      <c r="B24" s="41" t="s">
        <v>129</v>
      </c>
      <c r="C24" s="19" t="n">
        <v>8200</v>
      </c>
      <c r="D24" s="1" t="s">
        <v>130</v>
      </c>
    </row>
    <row r="25" customFormat="false" ht="15" hidden="false" customHeight="true" outlineLevel="0" collapsed="false">
      <c r="B25" s="41" t="s">
        <v>131</v>
      </c>
      <c r="C25" s="53" t="n">
        <v>0</v>
      </c>
    </row>
    <row r="26" customFormat="false" ht="15" hidden="false" customHeight="true" outlineLevel="0" collapsed="false">
      <c r="B26" s="47" t="s">
        <v>132</v>
      </c>
      <c r="C26" s="49" t="n">
        <f aca="false">C23-C24-C25</f>
        <v>83238.3178177132</v>
      </c>
    </row>
    <row r="27" customFormat="false" ht="15" hidden="false" customHeight="true" outlineLevel="0" collapsed="false">
      <c r="B27" s="41" t="s">
        <v>133</v>
      </c>
      <c r="C27" s="19" t="n">
        <v>214</v>
      </c>
    </row>
    <row r="28" customFormat="false" ht="15" hidden="false" customHeight="true" outlineLevel="0" collapsed="false">
      <c r="B28" s="47" t="s">
        <v>134</v>
      </c>
      <c r="C28" s="54" t="n">
        <f aca="false">C26/C27</f>
        <v>388.964101951931</v>
      </c>
    </row>
    <row r="29" customFormat="false" ht="15" hidden="false" customHeight="true" outlineLevel="0" collapsed="false">
      <c r="B29" s="41" t="s">
        <v>135</v>
      </c>
      <c r="C29" s="55" t="n">
        <v>322</v>
      </c>
    </row>
    <row r="30" customFormat="false" ht="15" hidden="false" customHeight="true" outlineLevel="0" collapsed="false">
      <c r="B30" s="47" t="s">
        <v>136</v>
      </c>
      <c r="C30" s="56" t="n">
        <f aca="false">(C28-C29)/C29</f>
        <v>0.207963049540157</v>
      </c>
    </row>
  </sheetData>
  <mergeCells count="5">
    <mergeCell ref="B2:H2"/>
    <mergeCell ref="B4:D4"/>
    <mergeCell ref="B8:H8"/>
    <mergeCell ref="B15:E15"/>
    <mergeCell ref="B20:E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B2:K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0"/>
  </cols>
  <sheetData>
    <row r="2" customFormat="false" ht="15" hidden="false" customHeight="true" outlineLevel="0" collapsed="false">
      <c r="B2" s="6" t="s">
        <v>137</v>
      </c>
      <c r="C2" s="6"/>
      <c r="D2" s="6"/>
      <c r="E2" s="6"/>
      <c r="F2" s="6"/>
      <c r="G2" s="6"/>
      <c r="H2" s="6"/>
      <c r="I2" s="6"/>
      <c r="J2" s="6"/>
      <c r="K2" s="6"/>
    </row>
    <row r="3" customFormat="false" ht="15" hidden="false" customHeight="true" outlineLevel="0" collapsed="false">
      <c r="B3" s="43" t="s">
        <v>138</v>
      </c>
      <c r="C3" s="57" t="n">
        <v>0.08</v>
      </c>
      <c r="D3" s="57" t="n">
        <v>0.085</v>
      </c>
      <c r="E3" s="57" t="n">
        <v>0.09</v>
      </c>
      <c r="F3" s="57" t="n">
        <v>0.095</v>
      </c>
      <c r="G3" s="57" t="n">
        <v>0.1</v>
      </c>
      <c r="H3" s="57" t="n">
        <v>0.105</v>
      </c>
      <c r="I3" s="57" t="n">
        <v>0.11</v>
      </c>
      <c r="J3" s="57" t="n">
        <v>0.115</v>
      </c>
      <c r="K3" s="57" t="n">
        <v>0.12</v>
      </c>
    </row>
    <row r="4" customFormat="false" ht="15" hidden="false" customHeight="true" outlineLevel="0" collapsed="false">
      <c r="B4" s="58" t="n">
        <v>0.015</v>
      </c>
      <c r="C4" s="59" t="n">
        <f aca="false">(('FCF Build'!C10/(1+0.08)^1+'FCF Build'!D10/(1+0.08)^2+'FCF Build'!E10/(1+0.08)^3+'FCF Build'!F10/(1+0.08)^4+'FCF Build'!G10/(1+0.08)^5+('FCF Build'!G10*(1+0.015)/(0.08-0.015))/(1+0.08)^5)-'DCF Valuation'!C24-'DCF Valuation'!C25)/'DCF Valuation'!C27</f>
        <v>324.601847500185</v>
      </c>
      <c r="D4" s="60" t="n">
        <f aca="false">(('FCF Build'!C10/(1+0.085)^1+'FCF Build'!D10/(1+0.085)^2+'FCF Build'!E10/(1+0.085)^3+'FCF Build'!F10/(1+0.085)^4+'FCF Build'!G10/(1+0.085)^5+('FCF Build'!G10*(1+0.015)/(0.085-0.015))/(1+0.085)^5)-'DCF Valuation'!C24-'DCF Valuation'!C25)/'DCF Valuation'!C27</f>
        <v>298.283857735156</v>
      </c>
      <c r="E4" s="59" t="n">
        <f aca="false">(('FCF Build'!C10/(1+0.09)^1+'FCF Build'!D10/(1+0.09)^2+'FCF Build'!E10/(1+0.09)^3+'FCF Build'!F10/(1+0.09)^4+'FCF Build'!G10/(1+0.09)^5+('FCF Build'!G10*(1+0.015)/(0.09-0.015))/(1+0.09)^5)-'DCF Valuation'!C24-'DCF Valuation'!C25)/'DCF Valuation'!C27</f>
        <v>275.481489248624</v>
      </c>
      <c r="F4" s="60" t="n">
        <f aca="false">(('FCF Build'!C10/(1+0.095)^1+'FCF Build'!D10/(1+0.095)^2+'FCF Build'!E10/(1+0.095)^3+'FCF Build'!F10/(1+0.095)^4+'FCF Build'!G10/(1+0.095)^5+('FCF Build'!G10*(1+0.015)/(0.095-0.015))/(1+0.095)^5)-'DCF Valuation'!C24-'DCF Valuation'!C25)/'DCF Valuation'!C27</f>
        <v>255.535418972973</v>
      </c>
      <c r="G4" s="59" t="n">
        <f aca="false">(('FCF Build'!C10/(1+0.1)^1+'FCF Build'!D10/(1+0.1)^2+'FCF Build'!E10/(1+0.1)^3+'FCF Build'!F10/(1+0.1)^4+'FCF Build'!G10/(1+0.1)^5+('FCF Build'!G10*(1+0.015)/(0.1-0.015))/(1+0.1)^5)-'DCF Valuation'!C24-'DCF Valuation'!C25)/'DCF Valuation'!C27</f>
        <v>237.941462556384</v>
      </c>
      <c r="H4" s="60" t="n">
        <f aca="false">(('FCF Build'!C10/(1+0.105)^1+'FCF Build'!D10/(1+0.105)^2+'FCF Build'!E10/(1+0.105)^3+'FCF Build'!F10/(1+0.105)^4+'FCF Build'!G10/(1+0.105)^5+('FCF Build'!G10*(1+0.015)/(0.105-0.015))/(1+0.105)^5)-'DCF Valuation'!C24-'DCF Valuation'!C25)/'DCF Valuation'!C27</f>
        <v>222.307480152669</v>
      </c>
      <c r="I4" s="59" t="n">
        <f aca="false">(('FCF Build'!C10/(1+0.11)^1+'FCF Build'!D10/(1+0.11)^2+'FCF Build'!E10/(1+0.11)^3+'FCF Build'!F10/(1+0.11)^4+'FCF Build'!G10/(1+0.11)^5+('FCF Build'!G10*(1+0.015)/(0.11-0.015))/(1+0.11)^5)-'DCF Valuation'!C24-'DCF Valuation'!C25)/'DCF Valuation'!C27</f>
        <v>208.323890913484</v>
      </c>
      <c r="J4" s="60" t="n">
        <f aca="false">(('FCF Build'!C10/(1+0.115)^1+'FCF Build'!D10/(1+0.115)^2+'FCF Build'!E10/(1+0.115)^3+'FCF Build'!F10/(1+0.115)^4+'FCF Build'!G10/(1+0.115)^5+('FCF Build'!G10*(1+0.015)/(0.115-0.015))/(1+0.115)^5)-'DCF Valuation'!C24-'DCF Valuation'!C25)/'DCF Valuation'!C27</f>
        <v>195.743033136885</v>
      </c>
      <c r="K4" s="59" t="n">
        <f aca="false">(('FCF Build'!C10/(1+0.12)^1+'FCF Build'!D10/(1+0.12)^2+'FCF Build'!E10/(1+0.12)^3+'FCF Build'!F10/(1+0.12)^4+'FCF Build'!G10/(1+0.12)^5+('FCF Build'!G10*(1+0.015)/(0.12-0.015))/(1+0.12)^5)-'DCF Valuation'!C24-'DCF Valuation'!C25)/'DCF Valuation'!C27</f>
        <v>184.364421519981</v>
      </c>
    </row>
    <row r="5" customFormat="false" ht="15" hidden="false" customHeight="true" outlineLevel="0" collapsed="false">
      <c r="B5" s="58" t="n">
        <v>0.02</v>
      </c>
      <c r="C5" s="60" t="n">
        <f aca="false">(('FCF Build'!C10/(1+0.08)^1+'FCF Build'!D10/(1+0.08)^2+'FCF Build'!E10/(1+0.08)^3+'FCF Build'!F10/(1+0.08)^4+'FCF Build'!G10/(1+0.08)^5+('FCF Build'!G10*(1+0.02)/(0.08-0.02))/(1+0.08)^5)-'DCF Valuation'!C24-'DCF Valuation'!C25)/'DCF Valuation'!C27</f>
        <v>348.606003679685</v>
      </c>
      <c r="D5" s="59" t="n">
        <f aca="false">(('FCF Build'!C10/(1+0.085)^1+'FCF Build'!D10/(1+0.085)^2+'FCF Build'!E10/(1+0.085)^3+'FCF Build'!F10/(1+0.085)^4+'FCF Build'!G10/(1+0.085)^5+('FCF Build'!G10*(1+0.02)/(0.085-0.02))/(1+0.085)^5)-'DCF Valuation'!C24-'DCF Valuation'!C25)/'DCF Valuation'!C27</f>
        <v>318.48219982439</v>
      </c>
      <c r="E5" s="60" t="n">
        <f aca="false">(('FCF Build'!C10/(1+0.09)^1+'FCF Build'!D10/(1+0.09)^2+'FCF Build'!E10/(1+0.09)^3+'FCF Build'!F10/(1+0.09)^4+'FCF Build'!G10/(1+0.09)^5+('FCF Build'!G10*(1+0.02)/(0.09-0.02))/(1+0.09)^5)-'DCF Valuation'!C24-'DCF Valuation'!C25)/'DCF Valuation'!C27</f>
        <v>292.667725501416</v>
      </c>
      <c r="F5" s="59" t="n">
        <f aca="false">(('FCF Build'!C10/(1+0.095)^1+'FCF Build'!D10/(1+0.095)^2+'FCF Build'!E10/(1+0.095)^3+'FCF Build'!F10/(1+0.095)^4+'FCF Build'!G10/(1+0.095)^5+('FCF Build'!G10*(1+0.02)/(0.095-0.02))/(1+0.095)^5)-'DCF Valuation'!C24-'DCF Valuation'!C25)/'DCF Valuation'!C27</f>
        <v>270.300585370784</v>
      </c>
      <c r="G5" s="60" t="n">
        <f aca="false">(('FCF Build'!C10/(1+0.1)^1+'FCF Build'!D10/(1+0.1)^2+'FCF Build'!E10/(1+0.1)^3+'FCF Build'!F10/(1+0.1)^4+'FCF Build'!G10/(1+0.1)^5+('FCF Build'!G10*(1+0.02)/(0.1-0.02))/(1+0.1)^5)-'DCF Valuation'!C24-'DCF Valuation'!C25)/'DCF Valuation'!C27</f>
        <v>250.734286390909</v>
      </c>
      <c r="H5" s="59" t="n">
        <f aca="false">(('FCF Build'!C10/(1+0.105)^1+'FCF Build'!D10/(1+0.105)^2+'FCF Build'!E10/(1+0.105)^3+'FCF Build'!F10/(1+0.105)^4+'FCF Build'!G10/(1+0.105)^5+('FCF Build'!G10*(1+0.02)/(0.105-0.02))/(1+0.105)^5)-'DCF Valuation'!C24-'DCF Valuation'!C25)/'DCF Valuation'!C27</f>
        <v>233.474454680772</v>
      </c>
      <c r="I5" s="60" t="n">
        <f aca="false">(('FCF Build'!C10/(1+0.11)^1+'FCF Build'!D10/(1+0.11)^2+'FCF Build'!E10/(1+0.11)^3+'FCF Build'!F10/(1+0.11)^4+'FCF Build'!G10/(1+0.11)^5+('FCF Build'!G10*(1+0.02)/(0.11-0.02))/(1+0.11)^5)-'DCF Valuation'!C24-'DCF Valuation'!C25)/'DCF Valuation'!C27</f>
        <v>218.136580098608</v>
      </c>
      <c r="J5" s="59" t="n">
        <f aca="false">(('FCF Build'!C10/(1+0.115)^1+'FCF Build'!D10/(1+0.115)^2+'FCF Build'!E10/(1+0.115)^3+'FCF Build'!F10/(1+0.115)^4+'FCF Build'!G10/(1+0.115)^5+('FCF Build'!G10*(1+0.02)/(0.115-0.02))/(1+0.115)^5)-'DCF Valuation'!C24-'DCF Valuation'!C25)/'DCF Valuation'!C27</f>
        <v>204.417104641412</v>
      </c>
      <c r="K5" s="60" t="n">
        <f aca="false">(('FCF Build'!C10/(1+0.12)^1+'FCF Build'!D10/(1+0.12)^2+'FCF Build'!E10/(1+0.12)^3+'FCF Build'!F10/(1+0.12)^4+'FCF Build'!G10/(1+0.12)^5+('FCF Build'!G10*(1+0.02)/(0.12-0.02))/(1+0.12)^5)-'DCF Valuation'!C24-'DCF Valuation'!C25)/'DCF Valuation'!C27</f>
        <v>192.073184327817</v>
      </c>
    </row>
    <row r="6" customFormat="false" ht="15" hidden="false" customHeight="true" outlineLevel="0" collapsed="false">
      <c r="B6" s="58" t="n">
        <v>0.025</v>
      </c>
      <c r="C6" s="59" t="n">
        <f aca="false">(('FCF Build'!C10/(1+0.08)^1+'FCF Build'!D10/(1+0.08)^2+'FCF Build'!E10/(1+0.08)^3+'FCF Build'!F10/(1+0.08)^4+'FCF Build'!G10/(1+0.08)^5+('FCF Build'!G10*(1+0.025)/(0.08-0.025))/(1+0.08)^5)-'DCF Valuation'!C24-'DCF Valuation'!C25)/'DCF Valuation'!C27</f>
        <v>376.974551891822</v>
      </c>
      <c r="D6" s="60" t="n">
        <f aca="false">(('FCF Build'!C10/(1+0.085)^1+'FCF Build'!D10/(1+0.085)^2+'FCF Build'!E10/(1+0.085)^3+'FCF Build'!F10/(1+0.085)^4+'FCF Build'!G10/(1+0.085)^5+('FCF Build'!G10*(1+0.025)/(0.085-0.025))/(1+0.085)^5)-'DCF Valuation'!C24-'DCF Valuation'!C25)/'DCF Valuation'!C27</f>
        <v>342.04693226183</v>
      </c>
      <c r="E6" s="61" t="n">
        <f aca="false">(('FCF Build'!C10/(1+0.09)^1+'FCF Build'!D10/(1+0.09)^2+'FCF Build'!E10/(1+0.09)^3+'FCF Build'!F10/(1+0.09)^4+'FCF Build'!G10/(1+0.09)^5+('FCF Build'!G10*(1+0.025)/(0.09-0.025))/(1+0.09)^5)-'DCF Valuation'!C24-'DCF Valuation'!C25)/'DCF Valuation'!C27</f>
        <v>312.497998100791</v>
      </c>
      <c r="F6" s="60" t="n">
        <f aca="false">(('FCF Build'!C10/(1+0.095)^1+'FCF Build'!D10/(1+0.095)^2+'FCF Build'!E10/(1+0.095)^3+'FCF Build'!F10/(1+0.095)^4+'FCF Build'!G10/(1+0.095)^5+('FCF Build'!G10*(1+0.025)/(0.095-0.025))/(1+0.095)^5)-'DCF Valuation'!C24-'DCF Valuation'!C25)/'DCF Valuation'!C27</f>
        <v>287.175061253995</v>
      </c>
      <c r="G6" s="59" t="n">
        <f aca="false">(('FCF Build'!C10/(1+0.1)^1+'FCF Build'!D10/(1+0.1)^2+'FCF Build'!E10/(1+0.1)^3+'FCF Build'!F10/(1+0.1)^4+'FCF Build'!G10/(1+0.1)^5+('FCF Build'!G10*(1+0.025)/(0.1-0.025))/(1+0.1)^5)-'DCF Valuation'!C24-'DCF Valuation'!C25)/'DCF Valuation'!C27</f>
        <v>265.232820070037</v>
      </c>
      <c r="H6" s="60" t="n">
        <f aca="false">(('FCF Build'!C10/(1+0.105)^1+'FCF Build'!D10/(1+0.105)^2+'FCF Build'!E10/(1+0.105)^3+'FCF Build'!F10/(1+0.105)^4+'FCF Build'!G10/(1+0.105)^5+('FCF Build'!G10*(1+0.025)/(0.105-0.025))/(1+0.105)^5)-'DCF Valuation'!C24-'DCF Valuation'!C25)/'DCF Valuation'!C27</f>
        <v>246.037301024887</v>
      </c>
      <c r="I6" s="59" t="n">
        <f aca="false">(('FCF Build'!C10/(1+0.11)^1+'FCF Build'!D10/(1+0.11)^2+'FCF Build'!E10/(1+0.11)^3+'FCF Build'!F10/(1+0.11)^4+'FCF Build'!G10/(1+0.11)^5+('FCF Build'!G10*(1+0.025)/(0.11-0.025))/(1+0.11)^5)-'DCF Valuation'!C24-'DCF Valuation'!C25)/'DCF Valuation'!C27</f>
        <v>229.103703305512</v>
      </c>
      <c r="J6" s="60" t="n">
        <f aca="false">(('FCF Build'!C10/(1+0.115)^1+'FCF Build'!D10/(1+0.115)^2+'FCF Build'!E10/(1+0.115)^3+'FCF Build'!F10/(1+0.115)^4+'FCF Build'!G10/(1+0.115)^5+('FCF Build'!G10*(1+0.025)/(0.115-0.025))/(1+0.115)^5)-'DCF Valuation'!C24-'DCF Valuation'!C25)/'DCF Valuation'!C27</f>
        <v>214.054961868663</v>
      </c>
      <c r="K6" s="59" t="n">
        <f aca="false">(('FCF Build'!C10/(1+0.12)^1+'FCF Build'!D10/(1+0.12)^2+'FCF Build'!E10/(1+0.12)^3+'FCF Build'!F10/(1+0.12)^4+'FCF Build'!G10/(1+0.12)^5+('FCF Build'!G10*(1+0.025)/(0.12-0.025))/(1+0.12)^5)-'DCF Valuation'!C24-'DCF Valuation'!C25)/'DCF Valuation'!C27</f>
        <v>200.593395852268</v>
      </c>
    </row>
    <row r="7" customFormat="false" ht="15" hidden="false" customHeight="true" outlineLevel="0" collapsed="false">
      <c r="B7" s="58" t="n">
        <v>0.03</v>
      </c>
      <c r="C7" s="60" t="n">
        <f aca="false">(('FCF Build'!C10/(1+0.08)^1+'FCF Build'!D10/(1+0.08)^2+'FCF Build'!E10/(1+0.08)^3+'FCF Build'!F10/(1+0.08)^4+'FCF Build'!G10/(1+0.08)^5+('FCF Build'!G10*(1+0.03)/(0.08-0.03))/(1+0.08)^5)-'DCF Valuation'!C24-'DCF Valuation'!C25)/'DCF Valuation'!C27</f>
        <v>411.016809746386</v>
      </c>
      <c r="D7" s="59" t="n">
        <f aca="false">(('FCF Build'!C10/(1+0.085)^1+'FCF Build'!D10/(1+0.085)^2+'FCF Build'!E10/(1+0.085)^3+'FCF Build'!F10/(1+0.085)^4+'FCF Build'!G10/(1+0.085)^5+('FCF Build'!G10*(1+0.03)/(0.085-0.03))/(1+0.085)^5)-'DCF Valuation'!C24-'DCF Valuation'!C25)/'DCF Valuation'!C27</f>
        <v>369.896161506077</v>
      </c>
      <c r="E7" s="60" t="n">
        <f aca="false">(('FCF Build'!C10/(1+0.09)^1+'FCF Build'!D10/(1+0.09)^2+'FCF Build'!E10/(1+0.09)^3+'FCF Build'!F10/(1+0.09)^4+'FCF Build'!G10/(1+0.09)^5+('FCF Build'!G10*(1+0.03)/(0.09-0.03))/(1+0.09)^5)-'DCF Valuation'!C24-'DCF Valuation'!C25)/'DCF Valuation'!C27</f>
        <v>335.633316133396</v>
      </c>
      <c r="F7" s="59" t="n">
        <f aca="false">(('FCF Build'!C10/(1+0.095)^1+'FCF Build'!D10/(1+0.095)^2+'FCF Build'!E10/(1+0.095)^3+'FCF Build'!F10/(1+0.095)^4+'FCF Build'!G10/(1+0.095)^5+('FCF Build'!G10*(1+0.03)/(0.095-0.03))/(1+0.095)^5)-'DCF Valuation'!C24-'DCF Valuation'!C25)/'DCF Valuation'!C27</f>
        <v>306.645610350008</v>
      </c>
      <c r="G7" s="60" t="n">
        <f aca="false">(('FCF Build'!C10/(1+0.1)^1+'FCF Build'!D10/(1+0.1)^2+'FCF Build'!E10/(1+0.1)^3+'FCF Build'!F10/(1+0.1)^4+'FCF Build'!G10/(1+0.1)^5+('FCF Build'!G10*(1+0.03)/(0.1-0.03))/(1+0.1)^5)-'DCF Valuation'!C24-'DCF Valuation'!C25)/'DCF Valuation'!C27</f>
        <v>281.802572846184</v>
      </c>
      <c r="H7" s="59" t="n">
        <f aca="false">(('FCF Build'!C10/(1+0.105)^1+'FCF Build'!D10/(1+0.105)^2+'FCF Build'!E10/(1+0.105)^3+'FCF Build'!F10/(1+0.105)^4+'FCF Build'!G10/(1+0.105)^5+('FCF Build'!G10*(1+0.03)/(0.105-0.03))/(1+0.105)^5)-'DCF Valuation'!C24-'DCF Valuation'!C25)/'DCF Valuation'!C27</f>
        <v>260.275193548217</v>
      </c>
      <c r="I7" s="60" t="n">
        <f aca="false">(('FCF Build'!C10/(1+0.11)^1+'FCF Build'!D10/(1+0.11)^2+'FCF Build'!E10/(1+0.11)^3+'FCF Build'!F10/(1+0.11)^4+'FCF Build'!G10/(1+0.11)^5+('FCF Build'!G10*(1+0.03)/(0.11-0.03))/(1+0.11)^5)-'DCF Valuation'!C24-'DCF Valuation'!C25)/'DCF Valuation'!C27</f>
        <v>241.441716913279</v>
      </c>
      <c r="J7" s="59" t="n">
        <f aca="false">(('FCF Build'!C10/(1+0.115)^1+'FCF Build'!D10/(1+0.115)^2+'FCF Build'!E10/(1+0.115)^3+'FCF Build'!F10/(1+0.115)^4+'FCF Build'!G10/(1+0.115)^5+('FCF Build'!G10*(1+0.03)/(0.115-0.03))/(1+0.115)^5)-'DCF Valuation'!C24-'DCF Valuation'!C25)/'DCF Valuation'!C27</f>
        <v>224.826684652062</v>
      </c>
      <c r="K7" s="60" t="n">
        <f aca="false">(('FCF Build'!C10/(1+0.12)^1+'FCF Build'!D10/(1+0.12)^2+'FCF Build'!E10/(1+0.12)^3+'FCF Build'!F10/(1+0.12)^4+'FCF Build'!G10/(1+0.12)^5+('FCF Build'!G10*(1+0.03)/(0.12-0.03))/(1+0.12)^5)-'DCF Valuation'!C24-'DCF Valuation'!C25)/'DCF Valuation'!C27</f>
        <v>210.060297546102</v>
      </c>
    </row>
    <row r="8" customFormat="false" ht="15" hidden="false" customHeight="true" outlineLevel="0" collapsed="false">
      <c r="B8" s="58" t="n">
        <v>0.035</v>
      </c>
      <c r="C8" s="59" t="n">
        <f aca="false">(('FCF Build'!C10/(1+0.08)^1+'FCF Build'!D10/(1+0.08)^2+'FCF Build'!E10/(1+0.08)^3+'FCF Build'!F10/(1+0.08)^4+'FCF Build'!G10/(1+0.08)^5+('FCF Build'!G10*(1+0.035)/(0.08-0.035))/(1+0.08)^5)-'DCF Valuation'!C24-'DCF Valuation'!C25)/'DCF Valuation'!C27</f>
        <v>452.624013790853</v>
      </c>
      <c r="D8" s="60" t="n">
        <f aca="false">(('FCF Build'!C10/(1+0.085)^1+'FCF Build'!D10/(1+0.085)^2+'FCF Build'!E10/(1+0.085)^3+'FCF Build'!F10/(1+0.085)^4+'FCF Build'!G10/(1+0.085)^5+('FCF Build'!G10*(1+0.035)/(0.085-0.035))/(1+0.085)^5)-'DCF Valuation'!C24-'DCF Valuation'!C25)/'DCF Valuation'!C27</f>
        <v>403.315236599173</v>
      </c>
      <c r="E8" s="59" t="n">
        <f aca="false">(('FCF Build'!C10/(1+0.09)^1+'FCF Build'!D10/(1+0.09)^2+'FCF Build'!E10/(1+0.09)^3+'FCF Build'!F10/(1+0.09)^4+'FCF Build'!G10/(1+0.09)^5+('FCF Build'!G10*(1+0.035)/(0.09-0.035))/(1+0.09)^5)-'DCF Valuation'!C24-'DCF Valuation'!C25)/'DCF Valuation'!C27</f>
        <v>362.975055626474</v>
      </c>
      <c r="F8" s="60" t="n">
        <f aca="false">(('FCF Build'!C10/(1+0.095)^1+'FCF Build'!D10/(1+0.095)^2+'FCF Build'!E10/(1+0.095)^3+'FCF Build'!F10/(1+0.095)^4+'FCF Build'!G10/(1+0.095)^5+('FCF Build'!G10*(1+0.035)/(0.095-0.035))/(1+0.095)^5)-'DCF Valuation'!C24-'DCF Valuation'!C25)/'DCF Valuation'!C27</f>
        <v>329.361250962024</v>
      </c>
      <c r="G8" s="59" t="n">
        <f aca="false">(('FCF Build'!C10/(1+0.1)^1+'FCF Build'!D10/(1+0.1)^2+'FCF Build'!E10/(1+0.1)^3+'FCF Build'!F10/(1+0.1)^4+'FCF Build'!G10/(1+0.1)^5+('FCF Build'!G10*(1+0.035)/(0.1-0.035))/(1+0.1)^5)-'DCF Valuation'!C24-'DCF Valuation'!C25)/'DCF Valuation'!C27</f>
        <v>300.921518357122</v>
      </c>
      <c r="H8" s="60" t="n">
        <f aca="false">(('FCF Build'!C10/(1+0.105)^1+'FCF Build'!D10/(1+0.105)^2+'FCF Build'!E10/(1+0.105)^3+'FCF Build'!F10/(1+0.105)^4+'FCF Build'!G10/(1+0.105)^5+('FCF Build'!G10*(1+0.035)/(0.105-0.035))/(1+0.105)^5)-'DCF Valuation'!C24-'DCF Valuation'!C25)/'DCF Valuation'!C27</f>
        <v>276.547070717738</v>
      </c>
      <c r="I8" s="59" t="n">
        <f aca="false">(('FCF Build'!C10/(1+0.11)^1+'FCF Build'!D10/(1+0.11)^2+'FCF Build'!E10/(1+0.11)^3+'FCF Build'!F10/(1+0.11)^4+'FCF Build'!G10/(1+0.11)^5+('FCF Build'!G10*(1+0.035)/(0.11-0.035))/(1+0.11)^5)-'DCF Valuation'!C24-'DCF Valuation'!C25)/'DCF Valuation'!C27</f>
        <v>255.424799002081</v>
      </c>
      <c r="J8" s="60" t="n">
        <f aca="false">(('FCF Build'!C10/(1+0.115)^1+'FCF Build'!D10/(1+0.115)^2+'FCF Build'!E10/(1+0.115)^3+'FCF Build'!F10/(1+0.115)^4+'FCF Build'!G10/(1+0.115)^5+('FCF Build'!G10*(1+0.035)/(0.115-0.035))/(1+0.115)^5)-'DCF Valuation'!C24-'DCF Valuation'!C25)/'DCF Valuation'!C27</f>
        <v>236.944872783386</v>
      </c>
      <c r="K8" s="59" t="n">
        <f aca="false">(('FCF Build'!C10/(1+0.12)^1+'FCF Build'!D10/(1+0.12)^2+'FCF Build'!E10/(1+0.12)^3+'FCF Build'!F10/(1+0.12)^4+'FCF Build'!G10/(1+0.12)^5+('FCF Build'!G10*(1+0.035)/(0.12-0.035))/(1+0.12)^5)-'DCF Valuation'!C24-'DCF Valuation'!C25)/'DCF Valuation'!C27</f>
        <v>220.640952380386</v>
      </c>
    </row>
    <row r="9" customFormat="false" ht="15" hidden="false" customHeight="true" outlineLevel="0" collapsed="false">
      <c r="B9" s="62" t="s">
        <v>139</v>
      </c>
      <c r="C9" s="62"/>
      <c r="D9" s="62"/>
      <c r="E9" s="62"/>
      <c r="F9" s="62"/>
      <c r="G9" s="62"/>
      <c r="H9" s="62"/>
    </row>
  </sheetData>
  <mergeCells count="2">
    <mergeCell ref="B2:K2"/>
    <mergeCell ref="B9:H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B2:K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8"/>
    <col collapsed="false" customWidth="true" hidden="false" outlineLevel="0" max="10" min="3" style="1" width="12"/>
    <col collapsed="false" customWidth="true" hidden="false" outlineLevel="0" max="11" min="11" style="1" width="14"/>
    <col collapsed="false" customWidth="true" hidden="false" outlineLevel="0" max="12" min="12" style="1" width="38"/>
  </cols>
  <sheetData>
    <row r="2" customFormat="false" ht="15" hidden="false" customHeight="true" outlineLevel="0" collapsed="false">
      <c r="B2" s="6" t="s">
        <v>140</v>
      </c>
      <c r="C2" s="6"/>
      <c r="D2" s="6"/>
      <c r="E2" s="6"/>
      <c r="F2" s="6"/>
      <c r="G2" s="6"/>
      <c r="H2" s="6"/>
      <c r="I2" s="6"/>
      <c r="J2" s="6"/>
      <c r="K2" s="6"/>
    </row>
    <row r="3" customFormat="false" ht="15" hidden="false" customHeight="true" outlineLevel="0" collapsed="false">
      <c r="B3" s="63"/>
      <c r="C3" s="16" t="s">
        <v>141</v>
      </c>
      <c r="D3" s="16"/>
      <c r="E3" s="16"/>
      <c r="F3" s="16" t="s">
        <v>142</v>
      </c>
      <c r="G3" s="16"/>
      <c r="H3" s="16"/>
      <c r="I3" s="16" t="s">
        <v>143</v>
      </c>
      <c r="J3" s="16"/>
      <c r="K3" s="16"/>
    </row>
    <row r="4" customFormat="false" ht="15" hidden="false" customHeight="true" outlineLevel="0" collapsed="false">
      <c r="B4" s="17" t="s">
        <v>2</v>
      </c>
      <c r="C4" s="17" t="s">
        <v>144</v>
      </c>
      <c r="D4" s="17" t="s">
        <v>145</v>
      </c>
      <c r="E4" s="17" t="s">
        <v>146</v>
      </c>
      <c r="F4" s="17" t="s">
        <v>147</v>
      </c>
      <c r="G4" s="17" t="s">
        <v>148</v>
      </c>
      <c r="H4" s="17" t="s">
        <v>149</v>
      </c>
      <c r="I4" s="17" t="s">
        <v>147</v>
      </c>
      <c r="J4" s="17" t="s">
        <v>148</v>
      </c>
      <c r="K4" s="17" t="s">
        <v>149</v>
      </c>
    </row>
    <row r="5" customFormat="false" ht="15" hidden="false" customHeight="true" outlineLevel="0" collapsed="false">
      <c r="B5" s="18" t="s">
        <v>150</v>
      </c>
      <c r="C5" s="64" t="n">
        <v>88000</v>
      </c>
      <c r="D5" s="64" t="n">
        <v>5800</v>
      </c>
      <c r="E5" s="64" t="n">
        <f aca="false">C5+D5</f>
        <v>93800</v>
      </c>
      <c r="F5" s="65" t="n">
        <v>18.5</v>
      </c>
      <c r="G5" s="65" t="n">
        <v>17.2</v>
      </c>
      <c r="H5" s="65" t="n">
        <v>16</v>
      </c>
      <c r="I5" s="65" t="n">
        <v>27.5</v>
      </c>
      <c r="J5" s="65" t="n">
        <v>25.2</v>
      </c>
      <c r="K5" s="65" t="n">
        <v>23.1</v>
      </c>
    </row>
    <row r="6" customFormat="false" ht="15" hidden="false" customHeight="true" outlineLevel="0" collapsed="false">
      <c r="B6" s="21" t="s">
        <v>151</v>
      </c>
      <c r="C6" s="66" t="n">
        <v>30500</v>
      </c>
      <c r="D6" s="66" t="n">
        <v>4500</v>
      </c>
      <c r="E6" s="66" t="n">
        <f aca="false">C6+D6</f>
        <v>35000</v>
      </c>
      <c r="F6" s="67" t="n">
        <v>13</v>
      </c>
      <c r="G6" s="67" t="n">
        <v>12.2</v>
      </c>
      <c r="H6" s="67" t="n">
        <v>11.5</v>
      </c>
      <c r="I6" s="67" t="n">
        <v>19.8</v>
      </c>
      <c r="J6" s="67" t="n">
        <v>18.2</v>
      </c>
      <c r="K6" s="67" t="n">
        <v>16.8</v>
      </c>
    </row>
    <row r="7" customFormat="false" ht="15" hidden="false" customHeight="true" outlineLevel="0" collapsed="false">
      <c r="B7" s="18" t="s">
        <v>152</v>
      </c>
      <c r="C7" s="64" t="n">
        <v>58000</v>
      </c>
      <c r="D7" s="64" t="n">
        <v>8800</v>
      </c>
      <c r="E7" s="64" t="n">
        <f aca="false">C7+D7</f>
        <v>66800</v>
      </c>
      <c r="F7" s="65" t="n">
        <v>17</v>
      </c>
      <c r="G7" s="65" t="n">
        <v>15.8</v>
      </c>
      <c r="H7" s="65" t="n">
        <v>14.7</v>
      </c>
      <c r="I7" s="65" t="n">
        <v>32.5</v>
      </c>
      <c r="J7" s="65" t="n">
        <v>29.8</v>
      </c>
      <c r="K7" s="65" t="n">
        <v>27.2</v>
      </c>
    </row>
    <row r="8" customFormat="false" ht="15" hidden="false" customHeight="true" outlineLevel="0" collapsed="false">
      <c r="B8" s="21" t="s">
        <v>153</v>
      </c>
      <c r="C8" s="66" t="n">
        <v>12500</v>
      </c>
      <c r="D8" s="66" t="n">
        <v>2300</v>
      </c>
      <c r="E8" s="66" t="n">
        <f aca="false">C8+D8</f>
        <v>14800</v>
      </c>
      <c r="F8" s="67" t="n">
        <v>14.8</v>
      </c>
      <c r="G8" s="67" t="n">
        <v>13.6</v>
      </c>
      <c r="H8" s="67" t="n">
        <v>12.6</v>
      </c>
      <c r="I8" s="67" t="n">
        <v>22.5</v>
      </c>
      <c r="J8" s="67" t="n">
        <v>20.5</v>
      </c>
      <c r="K8" s="67" t="n">
        <v>18.8</v>
      </c>
    </row>
    <row r="9" customFormat="false" ht="15" hidden="false" customHeight="true" outlineLevel="0" collapsed="false">
      <c r="B9" s="18" t="s">
        <v>154</v>
      </c>
      <c r="C9" s="64" t="n">
        <v>10000</v>
      </c>
      <c r="D9" s="64" t="n">
        <v>900</v>
      </c>
      <c r="E9" s="64" t="n">
        <f aca="false">C9+D9</f>
        <v>10900</v>
      </c>
      <c r="F9" s="65" t="n">
        <v>12.5</v>
      </c>
      <c r="G9" s="65" t="n">
        <v>11.6</v>
      </c>
      <c r="H9" s="65" t="n">
        <v>10.8</v>
      </c>
      <c r="I9" s="65" t="n">
        <v>19</v>
      </c>
      <c r="J9" s="65" t="n">
        <v>17.5</v>
      </c>
      <c r="K9" s="65" t="n">
        <v>16.2</v>
      </c>
    </row>
    <row r="10" customFormat="false" ht="15" hidden="false" customHeight="true" outlineLevel="0" collapsed="false">
      <c r="B10" s="34" t="s">
        <v>155</v>
      </c>
      <c r="C10" s="68" t="n">
        <v>68900</v>
      </c>
      <c r="D10" s="68" t="n">
        <v>8200</v>
      </c>
      <c r="E10" s="68" t="n">
        <f aca="false">C10+D10</f>
        <v>77100</v>
      </c>
      <c r="F10" s="69" t="n">
        <v>16.2</v>
      </c>
      <c r="G10" s="69" t="n">
        <v>15.1</v>
      </c>
      <c r="H10" s="69" t="n">
        <v>14.1</v>
      </c>
      <c r="I10" s="69" t="n">
        <v>24.8</v>
      </c>
      <c r="J10" s="69" t="n">
        <v>22.6</v>
      </c>
      <c r="K10" s="69" t="n">
        <v>20.8</v>
      </c>
    </row>
    <row r="12" customFormat="false" ht="15" hidden="false" customHeight="true" outlineLevel="0" collapsed="false">
      <c r="B12" s="16" t="s">
        <v>156</v>
      </c>
      <c r="C12" s="16"/>
      <c r="D12" s="16"/>
      <c r="E12" s="16"/>
      <c r="F12" s="16"/>
      <c r="G12" s="16"/>
      <c r="H12" s="16"/>
      <c r="I12" s="16"/>
      <c r="J12" s="16"/>
      <c r="K12" s="16"/>
    </row>
    <row r="13" customFormat="false" ht="15" hidden="false" customHeight="true" outlineLevel="0" collapsed="false">
      <c r="B13" s="17" t="s">
        <v>157</v>
      </c>
      <c r="C13" s="17" t="s">
        <v>158</v>
      </c>
      <c r="D13" s="17" t="s">
        <v>158</v>
      </c>
      <c r="E13" s="17" t="s">
        <v>158</v>
      </c>
      <c r="F13" s="17" t="s">
        <v>159</v>
      </c>
      <c r="G13" s="17" t="s">
        <v>160</v>
      </c>
      <c r="H13" s="17" t="s">
        <v>161</v>
      </c>
      <c r="I13" s="17" t="s">
        <v>162</v>
      </c>
      <c r="J13" s="17" t="s">
        <v>163</v>
      </c>
      <c r="K13" s="17" t="s">
        <v>164</v>
      </c>
    </row>
    <row r="14" customFormat="false" ht="15" hidden="false" customHeight="true" outlineLevel="0" collapsed="false">
      <c r="B14" s="70" t="s">
        <v>165</v>
      </c>
      <c r="C14" s="71"/>
      <c r="D14" s="71"/>
      <c r="E14" s="71"/>
      <c r="F14" s="72" t="n">
        <f aca="false">AVERAGE(F5:F9)</f>
        <v>15.16</v>
      </c>
      <c r="G14" s="72" t="n">
        <f aca="false">AVERAGE(G5:G9)</f>
        <v>14.08</v>
      </c>
      <c r="H14" s="72" t="n">
        <f aca="false">AVERAGE(H5:H9)</f>
        <v>13.12</v>
      </c>
      <c r="I14" s="72" t="n">
        <f aca="false">AVERAGE(I5:I9)</f>
        <v>24.26</v>
      </c>
      <c r="J14" s="72" t="n">
        <f aca="false">AVERAGE(J5:J9)</f>
        <v>22.24</v>
      </c>
      <c r="K14" s="72" t="n">
        <f aca="false">AVERAGE(K5:K9)</f>
        <v>20.42</v>
      </c>
    </row>
    <row r="15" customFormat="false" ht="15" hidden="false" customHeight="true" outlineLevel="0" collapsed="false">
      <c r="B15" s="31" t="s">
        <v>166</v>
      </c>
      <c r="C15" s="73"/>
      <c r="D15" s="73"/>
      <c r="E15" s="73"/>
      <c r="F15" s="74" t="n">
        <f aca="false">MEDIAN(F5:F9)</f>
        <v>14.8</v>
      </c>
      <c r="G15" s="74" t="n">
        <f aca="false">MEDIAN(G5:G9)</f>
        <v>13.6</v>
      </c>
      <c r="H15" s="74" t="n">
        <f aca="false">MEDIAN(H5:H9)</f>
        <v>12.6</v>
      </c>
      <c r="I15" s="74" t="n">
        <f aca="false">MEDIAN(I5:I9)</f>
        <v>22.5</v>
      </c>
      <c r="J15" s="74" t="n">
        <f aca="false">MEDIAN(J5:J9)</f>
        <v>20.5</v>
      </c>
      <c r="K15" s="74" t="n">
        <f aca="false">MEDIAN(K5:K9)</f>
        <v>18.8</v>
      </c>
    </row>
    <row r="16" customFormat="false" ht="15" hidden="false" customHeight="true" outlineLevel="0" collapsed="false">
      <c r="B16" s="70" t="s">
        <v>167</v>
      </c>
      <c r="C16" s="71"/>
      <c r="D16" s="71"/>
      <c r="E16" s="71"/>
      <c r="F16" s="72" t="n">
        <f aca="false">MIN(F5:F9)</f>
        <v>12.5</v>
      </c>
      <c r="G16" s="72" t="n">
        <f aca="false">MIN(G5:G9)</f>
        <v>11.6</v>
      </c>
      <c r="H16" s="72" t="n">
        <f aca="false">MIN(H5:H9)</f>
        <v>10.8</v>
      </c>
      <c r="I16" s="72" t="n">
        <f aca="false">MIN(I5:I9)</f>
        <v>19</v>
      </c>
      <c r="J16" s="72" t="n">
        <f aca="false">MIN(J5:J9)</f>
        <v>17.5</v>
      </c>
      <c r="K16" s="72" t="n">
        <f aca="false">MIN(K5:K9)</f>
        <v>16.2</v>
      </c>
    </row>
    <row r="17" customFormat="false" ht="15" hidden="false" customHeight="true" outlineLevel="0" collapsed="false">
      <c r="B17" s="31" t="s">
        <v>168</v>
      </c>
      <c r="C17" s="73"/>
      <c r="D17" s="73"/>
      <c r="E17" s="73"/>
      <c r="F17" s="74" t="n">
        <f aca="false">MAX(F5:F9)</f>
        <v>18.5</v>
      </c>
      <c r="G17" s="74" t="n">
        <f aca="false">MAX(G5:G9)</f>
        <v>17.2</v>
      </c>
      <c r="H17" s="74" t="n">
        <f aca="false">MAX(H5:H9)</f>
        <v>16</v>
      </c>
      <c r="I17" s="74" t="n">
        <f aca="false">MAX(I5:I9)</f>
        <v>32.5</v>
      </c>
      <c r="J17" s="74" t="n">
        <f aca="false">MAX(J5:J9)</f>
        <v>29.8</v>
      </c>
      <c r="K17" s="74" t="n">
        <f aca="false">MAX(K5:K9)</f>
        <v>27.2</v>
      </c>
    </row>
    <row r="18" customFormat="false" ht="15" hidden="false" customHeight="true" outlineLevel="0" collapsed="false">
      <c r="B18" s="70" t="s">
        <v>169</v>
      </c>
      <c r="C18" s="71"/>
      <c r="D18" s="71"/>
      <c r="E18" s="71"/>
      <c r="F18" s="72" t="n">
        <f aca="false">PERCENTILE(F5:F9,0.25)</f>
        <v>13</v>
      </c>
      <c r="G18" s="72" t="n">
        <f aca="false">PERCENTILE(G5:G9,0.25)</f>
        <v>12.2</v>
      </c>
      <c r="H18" s="72" t="n">
        <f aca="false">PERCENTILE(H5:H9,0.25)</f>
        <v>11.5</v>
      </c>
      <c r="I18" s="72" t="n">
        <f aca="false">PERCENTILE(I5:I9,0.25)</f>
        <v>19.8</v>
      </c>
      <c r="J18" s="72" t="n">
        <f aca="false">PERCENTILE(J5:J9,0.25)</f>
        <v>18.2</v>
      </c>
      <c r="K18" s="72" t="n">
        <f aca="false">PERCENTILE(K5:K9,0.25)</f>
        <v>16.8</v>
      </c>
    </row>
    <row r="19" customFormat="false" ht="15" hidden="false" customHeight="true" outlineLevel="0" collapsed="false">
      <c r="B19" s="31" t="s">
        <v>170</v>
      </c>
      <c r="C19" s="73"/>
      <c r="D19" s="73"/>
      <c r="E19" s="73"/>
      <c r="F19" s="74" t="n">
        <f aca="false">PERCENTILE(F5:F9,0.75)</f>
        <v>17</v>
      </c>
      <c r="G19" s="74" t="n">
        <f aca="false">PERCENTILE(G5:G9,0.75)</f>
        <v>15.8</v>
      </c>
      <c r="H19" s="74" t="n">
        <f aca="false">PERCENTILE(H5:H9,0.75)</f>
        <v>14.7</v>
      </c>
      <c r="I19" s="74" t="n">
        <f aca="false">PERCENTILE(I5:I9,0.75)</f>
        <v>27.5</v>
      </c>
      <c r="J19" s="74" t="n">
        <f aca="false">PERCENTILE(J5:J9,0.75)</f>
        <v>25.2</v>
      </c>
      <c r="K19" s="74" t="n">
        <f aca="false">PERCENTILE(K5:K9,0.75)</f>
        <v>23.1</v>
      </c>
    </row>
    <row r="22" customFormat="false" ht="15" hidden="false" customHeight="true" outlineLevel="0" collapsed="false">
      <c r="B22" s="6" t="s">
        <v>171</v>
      </c>
      <c r="C22" s="6"/>
      <c r="D22" s="6"/>
      <c r="E22" s="6"/>
      <c r="F22" s="6"/>
      <c r="G22" s="6"/>
      <c r="H22" s="6"/>
      <c r="I22" s="6"/>
      <c r="J22" s="6"/>
      <c r="K22" s="6"/>
    </row>
    <row r="23" customFormat="false" ht="15" hidden="false" customHeight="true" outlineLevel="0" collapsed="false">
      <c r="B23" s="17" t="s">
        <v>172</v>
      </c>
      <c r="C23" s="17" t="s">
        <v>173</v>
      </c>
      <c r="D23" s="17" t="s">
        <v>174</v>
      </c>
      <c r="E23" s="17" t="s">
        <v>175</v>
      </c>
      <c r="F23" s="17" t="s">
        <v>176</v>
      </c>
      <c r="G23" s="17" t="s">
        <v>177</v>
      </c>
      <c r="H23" s="17" t="s">
        <v>178</v>
      </c>
      <c r="I23" s="17" t="s">
        <v>179</v>
      </c>
      <c r="J23" s="17"/>
      <c r="K23" s="17"/>
    </row>
    <row r="24" customFormat="false" ht="15" hidden="false" customHeight="true" outlineLevel="0" collapsed="false">
      <c r="B24" s="18" t="s">
        <v>180</v>
      </c>
      <c r="C24" s="75" t="n">
        <f aca="false">F14</f>
        <v>15.16</v>
      </c>
      <c r="D24" s="76" t="n">
        <f aca="false">'Income Statement'!F8</f>
        <v>734.4</v>
      </c>
      <c r="E24" s="64" t="n">
        <f aca="false">C24*D24</f>
        <v>11133.504</v>
      </c>
      <c r="F24" s="77" t="n">
        <f aca="false">'DCF Valuation'!C24</f>
        <v>8200</v>
      </c>
      <c r="G24" s="78" t="n">
        <f aca="false">E24-F24</f>
        <v>2933.504</v>
      </c>
      <c r="H24" s="77" t="n">
        <f aca="false">'DCF Valuation'!C27</f>
        <v>214</v>
      </c>
      <c r="I24" s="79" t="n">
        <f aca="false">G24/H24</f>
        <v>13.7079626168224</v>
      </c>
      <c r="J24" s="71"/>
      <c r="K24" s="71"/>
    </row>
    <row r="25" customFormat="false" ht="15" hidden="false" customHeight="true" outlineLevel="0" collapsed="false">
      <c r="B25" s="21" t="s">
        <v>181</v>
      </c>
      <c r="C25" s="80" t="n">
        <f aca="false">F15</f>
        <v>14.8</v>
      </c>
      <c r="D25" s="81" t="n">
        <f aca="false">'Income Statement'!F8</f>
        <v>734.4</v>
      </c>
      <c r="E25" s="66" t="n">
        <f aca="false">C25*D25</f>
        <v>10869.12</v>
      </c>
      <c r="F25" s="82" t="n">
        <f aca="false">'DCF Valuation'!C24</f>
        <v>8200</v>
      </c>
      <c r="G25" s="83" t="n">
        <f aca="false">E25-F25</f>
        <v>2669.12</v>
      </c>
      <c r="H25" s="82" t="n">
        <f aca="false">'DCF Valuation'!C27</f>
        <v>214</v>
      </c>
      <c r="I25" s="79" t="n">
        <f aca="false">G25/H25</f>
        <v>12.472523364486</v>
      </c>
      <c r="J25" s="73"/>
      <c r="K25" s="73"/>
    </row>
    <row r="26" customFormat="false" ht="15" hidden="false" customHeight="true" outlineLevel="0" collapsed="false">
      <c r="B26" s="18" t="s">
        <v>182</v>
      </c>
      <c r="C26" s="75" t="n">
        <f aca="false">I14</f>
        <v>24.26</v>
      </c>
      <c r="D26" s="76" t="n">
        <f aca="false">'Income Statement'!F12</f>
        <v>0</v>
      </c>
      <c r="E26" s="84" t="s">
        <v>183</v>
      </c>
      <c r="F26" s="84" t="s">
        <v>158</v>
      </c>
      <c r="G26" s="78" t="n">
        <f aca="false">C26*D26</f>
        <v>0</v>
      </c>
      <c r="H26" s="77" t="n">
        <f aca="false">'DCF Valuation'!C27</f>
        <v>214</v>
      </c>
      <c r="I26" s="79" t="n">
        <f aca="false">G26/H26</f>
        <v>0</v>
      </c>
      <c r="J26" s="71"/>
      <c r="K26" s="71"/>
    </row>
    <row r="27" customFormat="false" ht="15" hidden="false" customHeight="true" outlineLevel="0" collapsed="false">
      <c r="B27" s="21" t="s">
        <v>184</v>
      </c>
      <c r="C27" s="80" t="n">
        <f aca="false">I15</f>
        <v>22.5</v>
      </c>
      <c r="D27" s="81" t="n">
        <f aca="false">'Income Statement'!F12</f>
        <v>0</v>
      </c>
      <c r="E27" s="85" t="s">
        <v>183</v>
      </c>
      <c r="F27" s="85" t="s">
        <v>158</v>
      </c>
      <c r="G27" s="83" t="n">
        <f aca="false">C27*D27</f>
        <v>0</v>
      </c>
      <c r="H27" s="82" t="n">
        <f aca="false">'DCF Valuation'!C27</f>
        <v>214</v>
      </c>
      <c r="I27" s="79" t="n">
        <f aca="false">G27/H27</f>
        <v>0</v>
      </c>
      <c r="J27" s="73"/>
      <c r="K27" s="73"/>
    </row>
    <row r="29" customFormat="false" ht="15" hidden="false" customHeight="true" outlineLevel="0" collapsed="false">
      <c r="B29" s="86" t="s">
        <v>185</v>
      </c>
      <c r="C29" s="86"/>
      <c r="D29" s="86"/>
      <c r="E29" s="86"/>
      <c r="F29" s="86"/>
      <c r="G29" s="86"/>
      <c r="H29" s="86"/>
      <c r="I29" s="86"/>
      <c r="J29" s="86"/>
      <c r="K29" s="86"/>
    </row>
  </sheetData>
  <mergeCells count="7">
    <mergeCell ref="B2:K2"/>
    <mergeCell ref="C3:E3"/>
    <mergeCell ref="F3:H3"/>
    <mergeCell ref="I3:K3"/>
    <mergeCell ref="B12:K12"/>
    <mergeCell ref="B22:K22"/>
    <mergeCell ref="B29:K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B2:L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2"/>
    <col collapsed="false" customWidth="true" hidden="false" outlineLevel="0" max="6" min="3" style="1" width="14"/>
    <col collapsed="false" customWidth="true" hidden="false" outlineLevel="0" max="7" min="7" style="1" width="3"/>
    <col collapsed="false" customWidth="true" hidden="false" outlineLevel="0" max="9" min="9" style="1" width="28"/>
    <col collapsed="false" customWidth="true" hidden="false" outlineLevel="0" max="12" min="10" style="1" width="12"/>
  </cols>
  <sheetData>
    <row r="2" customFormat="false" ht="15" hidden="false" customHeight="true" outlineLevel="0" collapsed="false">
      <c r="B2" s="6" t="s">
        <v>186</v>
      </c>
      <c r="C2" s="6"/>
      <c r="D2" s="6"/>
      <c r="E2" s="6"/>
      <c r="F2" s="6"/>
      <c r="I2" s="1" t="s">
        <v>187</v>
      </c>
      <c r="J2" s="1" t="s">
        <v>188</v>
      </c>
      <c r="K2" s="1" t="s">
        <v>189</v>
      </c>
      <c r="L2" s="1" t="s">
        <v>190</v>
      </c>
    </row>
    <row r="3" customFormat="false" ht="15" hidden="false" customHeight="true" outlineLevel="0" collapsed="false">
      <c r="B3" s="17" t="s">
        <v>191</v>
      </c>
      <c r="C3" s="17" t="s">
        <v>188</v>
      </c>
      <c r="D3" s="17" t="s">
        <v>192</v>
      </c>
      <c r="E3" s="17" t="s">
        <v>193</v>
      </c>
      <c r="F3" s="17" t="s">
        <v>194</v>
      </c>
      <c r="I3" s="1" t="str">
        <f aca="false">B4</f>
        <v>DCF – Base Case</v>
      </c>
      <c r="J3" s="87" t="n">
        <f aca="false">C4</f>
        <v>388.964101951931</v>
      </c>
      <c r="K3" s="87" t="n">
        <f aca="false">E4-C4</f>
        <v>0</v>
      </c>
      <c r="L3" s="87" t="n">
        <f aca="false">D4</f>
        <v>388.964101951931</v>
      </c>
    </row>
    <row r="4" customFormat="false" ht="15" hidden="false" customHeight="true" outlineLevel="0" collapsed="false">
      <c r="B4" s="34" t="s">
        <v>195</v>
      </c>
      <c r="C4" s="88" t="n">
        <f aca="false">'DCF Valuation'!C28</f>
        <v>388.964101951931</v>
      </c>
      <c r="D4" s="89" t="n">
        <f aca="false">'DCF Valuation'!C28</f>
        <v>388.964101951931</v>
      </c>
      <c r="E4" s="88" t="n">
        <f aca="false">'DCF Valuation'!C28</f>
        <v>388.964101951931</v>
      </c>
      <c r="F4" s="90" t="n">
        <f aca="false">'DCF Valuation'!C29</f>
        <v>322</v>
      </c>
      <c r="I4" s="1" t="str">
        <f aca="false">B5</f>
        <v>DCF – Sensitivity Range</v>
      </c>
      <c r="J4" s="87" t="n">
        <f aca="false">C5</f>
        <v>184.364421519981</v>
      </c>
      <c r="K4" s="87" t="n">
        <f aca="false">E5-C5</f>
        <v>268.259592270872</v>
      </c>
      <c r="L4" s="87" t="n">
        <f aca="false">D5</f>
        <v>388.964101951931</v>
      </c>
    </row>
    <row r="5" customFormat="false" ht="15" hidden="false" customHeight="true" outlineLevel="0" collapsed="false">
      <c r="B5" s="70" t="s">
        <v>196</v>
      </c>
      <c r="C5" s="91" t="n">
        <f aca="false">Sensitivity!K4</f>
        <v>184.364421519981</v>
      </c>
      <c r="D5" s="92" t="n">
        <f aca="false">'DCF Valuation'!C28</f>
        <v>388.964101951931</v>
      </c>
      <c r="E5" s="91" t="n">
        <f aca="false">Sensitivity!C8</f>
        <v>452.624013790853</v>
      </c>
      <c r="F5" s="93" t="n">
        <f aca="false">'DCF Valuation'!C29</f>
        <v>322</v>
      </c>
      <c r="I5" s="1" t="str">
        <f aca="false">B6</f>
        <v>EV/EBITDA Comps</v>
      </c>
      <c r="J5" s="87" t="n">
        <f aca="false">C6</f>
        <v>12.472523364486</v>
      </c>
      <c r="K5" s="87" t="n">
        <f aca="false">E6-C6</f>
        <v>1.23543925233644</v>
      </c>
      <c r="L5" s="87" t="n">
        <f aca="false">D6</f>
        <v>13.0902429906542</v>
      </c>
    </row>
    <row r="6" customFormat="false" ht="15" hidden="false" customHeight="true" outlineLevel="0" collapsed="false">
      <c r="B6" s="94" t="s">
        <v>197</v>
      </c>
      <c r="C6" s="95" t="n">
        <f aca="false">MIN('Trading Comps'!I24,'Trading Comps'!I25)</f>
        <v>12.472523364486</v>
      </c>
      <c r="D6" s="96" t="n">
        <f aca="false">AVERAGE('Trading Comps'!I24,'Trading Comps'!I25)</f>
        <v>13.0902429906542</v>
      </c>
      <c r="E6" s="95" t="n">
        <f aca="false">MAX('Trading Comps'!I24,'Trading Comps'!I25)</f>
        <v>13.7079626168224</v>
      </c>
      <c r="F6" s="97" t="n">
        <f aca="false">'DCF Valuation'!C29</f>
        <v>322</v>
      </c>
      <c r="I6" s="1" t="str">
        <f aca="false">B7</f>
        <v>P/E Comps</v>
      </c>
      <c r="J6" s="87" t="n">
        <f aca="false">C7</f>
        <v>0</v>
      </c>
      <c r="K6" s="87" t="n">
        <f aca="false">E7-C7</f>
        <v>0</v>
      </c>
      <c r="L6" s="87" t="n">
        <f aca="false">D7</f>
        <v>0</v>
      </c>
    </row>
    <row r="7" customFormat="false" ht="15" hidden="false" customHeight="true" outlineLevel="0" collapsed="false">
      <c r="B7" s="94" t="s">
        <v>198</v>
      </c>
      <c r="C7" s="95" t="n">
        <f aca="false">MIN('Trading Comps'!I26,'Trading Comps'!I27)</f>
        <v>0</v>
      </c>
      <c r="D7" s="96" t="n">
        <f aca="false">AVERAGE('Trading Comps'!I26,'Trading Comps'!I27)</f>
        <v>0</v>
      </c>
      <c r="E7" s="95" t="n">
        <f aca="false">MAX('Trading Comps'!I26,'Trading Comps'!I27)</f>
        <v>0</v>
      </c>
      <c r="F7" s="97" t="n">
        <f aca="false">'DCF Valuation'!C29</f>
        <v>322</v>
      </c>
      <c r="I7" s="1" t="str">
        <f aca="false">B8</f>
        <v>52-Week Trading Range</v>
      </c>
      <c r="J7" s="87" t="n">
        <f aca="false">C8</f>
        <v>305</v>
      </c>
      <c r="K7" s="87" t="n">
        <f aca="false">E8-C8</f>
        <v>76</v>
      </c>
      <c r="L7" s="87" t="n">
        <f aca="false">D8</f>
        <v>343</v>
      </c>
    </row>
    <row r="8" customFormat="false" ht="15" hidden="false" customHeight="true" outlineLevel="0" collapsed="false">
      <c r="B8" s="98" t="s">
        <v>199</v>
      </c>
      <c r="C8" s="99" t="n">
        <v>305</v>
      </c>
      <c r="D8" s="100" t="n">
        <v>343</v>
      </c>
      <c r="E8" s="99" t="n">
        <v>381</v>
      </c>
      <c r="F8" s="101" t="n">
        <f aca="false">'DCF Valuation'!C29</f>
        <v>322</v>
      </c>
    </row>
    <row r="10" customFormat="false" ht="39.75" hidden="false" customHeight="true" outlineLevel="0" collapsed="false">
      <c r="I10" s="102" t="s">
        <v>200</v>
      </c>
      <c r="J10" s="102"/>
      <c r="K10" s="102"/>
      <c r="L10" s="102"/>
    </row>
  </sheetData>
  <mergeCells count="2">
    <mergeCell ref="B2:F2"/>
    <mergeCell ref="I10:L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2026-06-09T18:06:32Z</dcterms:created>
  <dc:creator>openpyxl</dc:creator>
  <dc:description/>
  <dc:language>en-US</dc:language>
  <cp:lastModifiedBy/>
  <dcterms:modified xsi:type="dcterms:W3CDTF">2026-06-09T19:07:15Z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